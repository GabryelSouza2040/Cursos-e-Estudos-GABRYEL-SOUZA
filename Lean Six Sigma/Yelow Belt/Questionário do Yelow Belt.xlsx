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Ex2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Ex3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1f1a9524be809d/Área de Trabalho/"/>
    </mc:Choice>
  </mc:AlternateContent>
  <xr:revisionPtr revIDLastSave="1752" documentId="13_ncr:1_{B7489DCC-6491-4CF0-90F0-7155EDC5F906}" xr6:coauthVersionLast="47" xr6:coauthVersionMax="47" xr10:uidLastSave="{20CE0445-FE5D-4C57-BB4F-52F26C35F095}"/>
  <bookViews>
    <workbookView xWindow="-120" yWindow="-120" windowWidth="29040" windowHeight="15720" tabRatio="820" xr2:uid="{3741511F-BDDF-4023-924A-FDDA9FC75FFD}"/>
  </bookViews>
  <sheets>
    <sheet name="GABARITO" sheetId="10" r:id="rId1"/>
    <sheet name="DADOS 1" sheetId="1" r:id="rId2"/>
    <sheet name="1.c" sheetId="2" r:id="rId3"/>
    <sheet name="Part3" sheetId="5" r:id="rId4"/>
    <sheet name="PARTE 3" sheetId="14" r:id="rId5"/>
    <sheet name="PARTE 4" sheetId="9" r:id="rId6"/>
    <sheet name="Planilha1" sheetId="15" r:id="rId7"/>
  </sheets>
  <definedNames>
    <definedName name="_xlnm._FilterDatabase" localSheetId="2" hidden="1">'1.c'!$A$1:$D$161</definedName>
    <definedName name="_xlnm._FilterDatabase" localSheetId="1" hidden="1">'DADOS 1'!$B$12:$E$172</definedName>
    <definedName name="_xlnm._FilterDatabase" localSheetId="3" hidden="1">Part3!$B$8:$E$108</definedName>
    <definedName name="_xlnm._FilterDatabase" localSheetId="5" hidden="1">'PARTE 4'!$B$8:$D$108</definedName>
    <definedName name="_xlchart.v1.0" hidden="1">Planilha1!$E$4:$E$9</definedName>
    <definedName name="_xlchart.v1.1" hidden="1">Planilha1!$F$4:$F$9</definedName>
    <definedName name="_xlchart.v1.2" hidden="1">'PARTE 4'!$D$8</definedName>
    <definedName name="_xlchart.v1.3" hidden="1">'PARTE 4'!$D$9:$D$108</definedName>
    <definedName name="_xlchart.v1.4" hidden="1">'PARTE 4'!$D$8</definedName>
    <definedName name="_xlchart.v1.5" hidden="1">'PARTE 4'!$D$9:$D$108</definedName>
    <definedName name="_xlchart.v1.6" hidden="1">Planilha1!$E$4:$E$9</definedName>
    <definedName name="_xlchart.v1.7" hidden="1">Planilha1!$F$4:$F$9</definedName>
  </definedNames>
  <calcPr calcId="191029"/>
  <pivotCaches>
    <pivotCache cacheId="12" r:id="rId8"/>
    <pivotCache cacheId="16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" i="9" l="1"/>
  <c r="J7" i="15"/>
  <c r="J6" i="15"/>
  <c r="J5" i="15"/>
  <c r="J4" i="15"/>
  <c r="G10" i="15"/>
  <c r="G9" i="15"/>
  <c r="G8" i="15"/>
  <c r="G7" i="15"/>
  <c r="G6" i="15"/>
  <c r="G5" i="15"/>
  <c r="G4" i="15"/>
  <c r="F10" i="15"/>
  <c r="H95" i="5"/>
  <c r="T243" i="10"/>
  <c r="T252" i="10" s="1"/>
  <c r="T261" i="10" s="1"/>
  <c r="T276" i="10" s="1"/>
  <c r="T110" i="10"/>
  <c r="T117" i="10" s="1"/>
  <c r="T125" i="10" s="1"/>
  <c r="T138" i="10" s="1"/>
  <c r="T145" i="10" s="1"/>
  <c r="T168" i="10" s="1"/>
  <c r="Q81" i="2"/>
  <c r="M83" i="2"/>
  <c r="N87" i="2"/>
  <c r="N81" i="2"/>
  <c r="N83" i="2"/>
  <c r="O85" i="2"/>
  <c r="N85" i="2"/>
  <c r="M85" i="2"/>
  <c r="M81" i="2"/>
  <c r="H17" i="2"/>
  <c r="AA52" i="10"/>
  <c r="AA56" i="10"/>
  <c r="AA54" i="10"/>
  <c r="H5" i="1"/>
  <c r="H3" i="1"/>
  <c r="Q3" i="10"/>
  <c r="Q62" i="9"/>
  <c r="P62" i="9"/>
  <c r="O62" i="9"/>
  <c r="N62" i="9"/>
  <c r="M62" i="9"/>
  <c r="L62" i="9"/>
  <c r="M61" i="9"/>
  <c r="N61" i="9"/>
  <c r="O61" i="9"/>
  <c r="P61" i="9"/>
  <c r="Q61" i="9"/>
  <c r="L61" i="9"/>
  <c r="Q60" i="9"/>
  <c r="P60" i="9"/>
  <c r="O60" i="9"/>
  <c r="N60" i="9"/>
  <c r="M60" i="9"/>
  <c r="L60" i="9"/>
  <c r="P58" i="9"/>
  <c r="O58" i="9"/>
  <c r="H26" i="9"/>
  <c r="L10" i="9"/>
  <c r="P16" i="9"/>
  <c r="T36" i="9"/>
  <c r="X18" i="9"/>
  <c r="AB24" i="9"/>
  <c r="K6" i="5"/>
  <c r="L6" i="5"/>
  <c r="L3" i="5"/>
  <c r="K3" i="5"/>
  <c r="L4" i="5"/>
  <c r="K4" i="5"/>
  <c r="L2" i="5"/>
  <c r="K2" i="5"/>
  <c r="L5" i="5"/>
  <c r="K5" i="5"/>
  <c r="G6" i="5"/>
  <c r="H6" i="5" s="1"/>
  <c r="G5" i="5"/>
  <c r="H5" i="5" s="1"/>
  <c r="G4" i="5"/>
  <c r="H4" i="5" s="1"/>
  <c r="G3" i="5"/>
  <c r="H3" i="5" s="1"/>
  <c r="G2" i="5"/>
  <c r="H2" i="5" s="1"/>
  <c r="O87" i="2"/>
  <c r="O81" i="2"/>
  <c r="O83" i="2"/>
  <c r="M87" i="2"/>
</calcChain>
</file>

<file path=xl/sharedStrings.xml><?xml version="1.0" encoding="utf-8"?>
<sst xmlns="http://schemas.openxmlformats.org/spreadsheetml/2006/main" count="1975" uniqueCount="218">
  <si>
    <t>Antonio</t>
  </si>
  <si>
    <t>Marcos</t>
  </si>
  <si>
    <t>Suzane</t>
  </si>
  <si>
    <t>Criou o restaurante e COZINHEIRO</t>
  </si>
  <si>
    <t>Caixa e Pedidos</t>
  </si>
  <si>
    <t xml:space="preserve">Filho </t>
  </si>
  <si>
    <t>Tipos de lanche saindo de formas diferentes</t>
  </si>
  <si>
    <t>Tempos de espera (Cliente)</t>
  </si>
  <si>
    <t>Ideia:</t>
  </si>
  <si>
    <t>Cronometragem do tempo de produção dos lanches (Marcos)</t>
  </si>
  <si>
    <t>Nº DO PEDIDO</t>
  </si>
  <si>
    <t>TEMPO DE ESPERA (MINUTOS)</t>
  </si>
  <si>
    <t>DIA DA SEMANA</t>
  </si>
  <si>
    <t>PERÍODO</t>
  </si>
  <si>
    <t>Segunda</t>
  </si>
  <si>
    <t>Tarde</t>
  </si>
  <si>
    <t>Noite</t>
  </si>
  <si>
    <t>Terça</t>
  </si>
  <si>
    <t>Quarta</t>
  </si>
  <si>
    <t>Quinta</t>
  </si>
  <si>
    <t>Sexta</t>
  </si>
  <si>
    <t>Sábado</t>
  </si>
  <si>
    <t>Domingo</t>
  </si>
  <si>
    <t>Média temp terça</t>
  </si>
  <si>
    <t>Qual foi a média de tempo de espera de um cliente na terça-feira? </t>
  </si>
  <si>
    <t>Quanto tempo esperou o cliente que recebeu o lanche mais rápido para esse dia?</t>
  </si>
  <si>
    <t xml:space="preserve">Quarta </t>
  </si>
  <si>
    <t>Média Temp Espera</t>
  </si>
  <si>
    <t>Número do Pedido</t>
  </si>
  <si>
    <t>Lanche</t>
  </si>
  <si>
    <t>Turno</t>
  </si>
  <si>
    <t>Dia</t>
  </si>
  <si>
    <t>MISTO QUENTE</t>
  </si>
  <si>
    <t>TARDE</t>
  </si>
  <si>
    <t>NATURAL</t>
  </si>
  <si>
    <t>MORTADELA</t>
  </si>
  <si>
    <t>HAMBÚRGUER</t>
  </si>
  <si>
    <t>X-BURGUER</t>
  </si>
  <si>
    <t>NOITE</t>
  </si>
  <si>
    <t>maior</t>
  </si>
  <si>
    <t>menor</t>
  </si>
  <si>
    <t>Rótulos de Linha</t>
  </si>
  <si>
    <t>Total Geral</t>
  </si>
  <si>
    <t>Média de 5 lanches, vendeu menos no dia 1.</t>
  </si>
  <si>
    <t>Média de 2 lanches, vendeu menos no dia 2.</t>
  </si>
  <si>
    <t>Média de 3 lanches, vendeu menos no dia 1.</t>
  </si>
  <si>
    <t>Média de 4 lanches, vendeu menos no dia 2.</t>
  </si>
  <si>
    <t>Qual a média de vendas por dia de lanche de mortadela, e qual dia vendeu menos lanches desse sabor?*</t>
  </si>
  <si>
    <t>Cliente Número</t>
  </si>
  <si>
    <t>Aspecto Favorito</t>
  </si>
  <si>
    <t>Nota de 0 a 10</t>
  </si>
  <si>
    <t>ATENDIMENTO</t>
  </si>
  <si>
    <t>TEMPERATURA</t>
  </si>
  <si>
    <t>SABOR</t>
  </si>
  <si>
    <t>VELOCIDADE</t>
  </si>
  <si>
    <t>OUTROS</t>
  </si>
  <si>
    <t>DECORAÇÃO</t>
  </si>
  <si>
    <t>SOMA:</t>
  </si>
  <si>
    <t>FREQUENCIA</t>
  </si>
  <si>
    <t>Porcentagem</t>
  </si>
  <si>
    <t>% Acumulada</t>
  </si>
  <si>
    <t>Decoracao</t>
  </si>
  <si>
    <t>FREQUENCIA SOMA</t>
  </si>
  <si>
    <t>Assessment de Análise de Dados 1</t>
  </si>
  <si>
    <t>%</t>
  </si>
  <si>
    <t>Este é o primeiro questionário de análise de dados do curso de Yellow Belt. </t>
  </si>
  <si>
    <t>Essas questões foram especialmente desenvolvidas para testar o seu nível de conhecimento no assunto, então algumas perguntas poderão parecer mais fáceis e outras, mais complexas. Use isso para entender em quais assuntos é mais interessante você focar os seus estudos.</t>
  </si>
  <si>
    <t>Bons estudos!</t>
  </si>
  <si>
    <r>
      <t>Você</t>
    </r>
    <r>
      <rPr>
        <b/>
        <sz val="11"/>
        <color rgb="FF202124"/>
        <rFont val="Arial"/>
        <family val="2"/>
      </rPr>
      <t xml:space="preserve"> pode utilizar o Excel</t>
    </r>
    <r>
      <rPr>
        <sz val="11"/>
        <color rgb="FF202124"/>
        <rFont val="Arial"/>
        <family val="2"/>
      </rPr>
      <t xml:space="preserve"> para responder as questões, e inclusive algumas questões só serão possíveis responder utilizando o </t>
    </r>
    <r>
      <rPr>
        <i/>
        <sz val="11"/>
        <color rgb="FF202124"/>
        <rFont val="Arial"/>
        <family val="2"/>
      </rPr>
      <t>software</t>
    </r>
    <r>
      <rPr>
        <sz val="11"/>
        <color rgb="FF202124"/>
        <rFont val="Arial"/>
        <family val="2"/>
      </rPr>
      <t>. Contudo, não se preocupe: tudo o que você precisa para responder as questões foi apresentado em aula.</t>
    </r>
  </si>
  <si>
    <r>
      <t xml:space="preserve">Embora o questionário não tenha um limite de tempo, é interessante </t>
    </r>
    <r>
      <rPr>
        <b/>
        <sz val="11"/>
        <color rgb="FF202124"/>
        <rFont val="Arial"/>
        <family val="2"/>
      </rPr>
      <t>separar um tempo para responder as questões</t>
    </r>
    <r>
      <rPr>
        <sz val="11"/>
        <color rgb="FF202124"/>
        <rFont val="Arial"/>
        <family val="2"/>
      </rPr>
      <t xml:space="preserve">. Se você precisar sair, suas respostas estarão salvas quando voltar, mas você precisa </t>
    </r>
    <r>
      <rPr>
        <b/>
        <sz val="11"/>
        <color rgb="FF202124"/>
        <rFont val="Arial"/>
        <family val="2"/>
      </rPr>
      <t>clicar para enviar o questionário</t>
    </r>
    <r>
      <rPr>
        <sz val="11"/>
        <color rgb="FF202124"/>
        <rFont val="Arial"/>
        <family val="2"/>
      </rPr>
      <t xml:space="preserve"> ao final, ok?</t>
    </r>
  </si>
  <si>
    <r>
      <t xml:space="preserve">Esse questionário só pode ser feito </t>
    </r>
    <r>
      <rPr>
        <b/>
        <sz val="11"/>
        <color rgb="FF202124"/>
        <rFont val="Arial"/>
        <family val="2"/>
      </rPr>
      <t>uma</t>
    </r>
    <r>
      <rPr>
        <sz val="11"/>
        <color rgb="FF202124"/>
        <rFont val="Arial"/>
        <family val="2"/>
      </rPr>
      <t xml:space="preserve"> vez.</t>
    </r>
  </si>
  <si>
    <r>
      <t xml:space="preserve">Outros questionários estarão disponíveis ao longo do curso, então </t>
    </r>
    <r>
      <rPr>
        <b/>
        <sz val="11"/>
        <color rgb="FF202124"/>
        <rFont val="Arial"/>
        <family val="2"/>
      </rPr>
      <t xml:space="preserve">use SEMPRE o mesmo e-mail </t>
    </r>
    <r>
      <rPr>
        <sz val="11"/>
        <color rgb="FF202124"/>
        <rFont val="Arial"/>
        <family val="2"/>
      </rPr>
      <t>para respondê-los. Além disso, você receberá no e-mail uma confirmação de envio do questionário.</t>
    </r>
  </si>
  <si>
    <t>LEIA ANTES DE INICIAR O QUESTIONÁRIO!</t>
  </si>
  <si>
    <t>ACERTOS:</t>
  </si>
  <si>
    <t>Estudo da Franquia Lanchoneteria - Parte 1</t>
  </si>
  <si>
    <t>4 de 6 pontos</t>
  </si>
  <si>
    <t>Com base no que foi apresentado até aqui, responda:</t>
  </si>
  <si>
    <t>A ideia de Antônio de cronometrar o tempo apresenta um problema fundamental. Qual é esse problema?</t>
  </si>
  <si>
    <t>Antônio não definiu claramente quando o cronômetro deveria ser iniciado ou parado, nem quais outros fatores eram importantes anotar.</t>
  </si>
  <si>
    <t>     Em 1995, Marcos criou seu primeiro restaurante: a Lanchoneteria. No restaurante apenas trabalhavam Suzane, esposa de Marcos, que era responsável por cuidar do caixa e dos pedidos, e o próprio Marcos, que era responsável pela cozinha. Conforme os anos passaram o restaurante foi ficando famoso e cada vez mais pessoas queriam fazer suas refeições lá, afinal o lanche era muito gostoso. Tanto que Antônio, o filho de Marcos e Suzane, decidiu ajudá-los no restaurante. Ele também reparou que, embora o lanche fosse gostoso, muitas vezes o mesmo tipo de lanche saía de formas diferentes, ou então, que em determinados dias o tempo de espera era muito grande.
     Antônio teve, então, uma ideia: pediu para que seu pai cronometrasse o tempo levado para fazer os lanches. Assim, ele poderia ver como que o tempo de espera variava, dependendo do pedido feito.</t>
  </si>
  <si>
    <t>Marcos não será capaz de anotar esses tempos, então é melhor que Suzane faça as anotações utilizando o cronômetro.</t>
  </si>
  <si>
    <t>O tempo não é uma variável importante para entender a espera dos clientes. Ao invés disso, Antônio deveria focar em redecorar o ambiente, tornando-o mais confortável para que as pessoas não fiquem cansadas de esperar.</t>
  </si>
  <si>
    <t>Antônio deveria focar em ajudar o seu pai com a cozinha, já que com mais uma pessoa os lanches sairiam mais rapidamente.</t>
  </si>
  <si>
    <t>X</t>
  </si>
  <si>
    <t>Rascunho:</t>
  </si>
  <si>
    <t>O Antonio não definiu quando o cronometro deve ser iniciado - Isso lembra aquela parte da apostila que fala da cronometragem de entrada e saída de Aviões (Measure)</t>
  </si>
  <si>
    <t>Com calma, Antônio e Marcos conversaram e decidiram adotar um plano para a coleta de dados. Qual a ordem correta para o plano?*</t>
  </si>
  <si>
    <t>Identificar a principal característica de interesse → Criar e validar o formulário de coleta de dados → Realizar a coleta de dados → Identificar demais características de interesse</t>
  </si>
  <si>
    <t>Criar e validar o formulário de coleta de dados → Identificar a característica de interesse → Realizar a coleta de dados → Identificar demais características de interesse</t>
  </si>
  <si>
    <t>Realizar a coleta de dados → Identificar a característica de saída → Identificar demais características de interesse → Criar e validar o formulário de coleta de dados</t>
  </si>
  <si>
    <t>Identificar a principal característica de interesse→ Identificar demais características de interesse → Criar e validar o formulário de coleta de dados → Realizar a coleta de dados</t>
  </si>
  <si>
    <t>YOU TUBE</t>
  </si>
  <si>
    <t>1° Identicar qual a nossa caracteristica de interesse (Processo)
2° Dentro dessa caracteristicas existem mais, qual delas nos queremos coletar para analisar?
3° Criar um Formulário e validar se ele atende as nossas necessidades
4° Realizar a coleta</t>
  </si>
  <si>
    <t>Antônio sugeriu que fosse cronometrado o tempo a partir da chegada do pedido à cozinha até a finalização do empratamento. Além disso, foi anotado o dia da semana em que o pedido foi feito, e se foi no período da tarde ou da noite. Assim, ao final de uma semana, os seguintes dados foram obtidos:  Dados da Lanchoneteria.</t>
  </si>
  <si>
    <t>Para ver como o tempo de espera varia em cada dia da semana, qual tipo de gráfico é o mais adequado para Antônio?</t>
  </si>
  <si>
    <r>
      <rPr>
        <b/>
        <sz val="11"/>
        <color theme="1"/>
        <rFont val="Aptos Narrow"/>
        <family val="2"/>
        <scheme val="minor"/>
      </rPr>
      <t>Atenção</t>
    </r>
    <r>
      <rPr>
        <sz val="11"/>
        <color theme="1"/>
        <rFont val="Aptos Narrow"/>
        <family val="2"/>
        <scheme val="minor"/>
      </rPr>
      <t>: a permissão da planilha é de visualização. Você pode baixá-la ou copiar os dados para uma outra planilha para fazer as alterações desejadas.</t>
    </r>
  </si>
  <si>
    <t>Gráfico de frequência.</t>
  </si>
  <si>
    <t>Gráfico de análise paramétrica.</t>
  </si>
  <si>
    <t>Gráfico de Pareto.</t>
  </si>
  <si>
    <t>Gráfico de tendência.</t>
  </si>
  <si>
    <t>PLANILHA EM</t>
  </si>
  <si>
    <t>O Gráfico de tendencia mostra como está ocorrendo as oscilações de uma determinanda atividade ou processo em um período de tempo, mostra a frequencia por periodo (Para mais ou para menos) em uma linha de grafico que sobe ou desce</t>
  </si>
  <si>
    <t>Seguindo a mesma planilha de dados (Dados da Lanchoneteria), qual foi a média de tempo de espera de um cliente na terça-feira? Quanto tempo esperou o cliente que recebeu o lanche mais rápido para esse dia? Ainda na terça, qual foi o tempo de espera do cliente que teve que esperar mais?</t>
  </si>
  <si>
    <t>4,99 min ; 4,60 min ; 5,31 min</t>
  </si>
  <si>
    <t>4,91 min ; 4,57 min ; 5,13 min</t>
  </si>
  <si>
    <t>6,08 min ; 4,65 min ; 7,20 min</t>
  </si>
  <si>
    <t>5,16 min ; 4,70 min ; 5,55 min</t>
  </si>
  <si>
    <t>You Tube</t>
  </si>
  <si>
    <t>Resolução</t>
  </si>
  <si>
    <t>Tempo espera lanche por cliente - Lanche produzido + rapudo</t>
  </si>
  <si>
    <t>Tempo espera lanche por cliente - Lanche produzido - rapudo</t>
  </si>
  <si>
    <t>Demorou</t>
  </si>
  <si>
    <t>Rápido</t>
  </si>
  <si>
    <t>Média do dia</t>
  </si>
  <si>
    <t>Média tempo de espera de pedido de lanche na terça-feira</t>
  </si>
  <si>
    <t>Marcos disse ao seu filho que houve um dia na semana em que o gás acabou, e por isso houve um pedido que demorou mais tempo que os demais. Antônio respondeu que encontraria essa causa especial vendo a variação natural do processo para cada dia no período da tarde e da noite, e que no dia que ocorreu a troca do gás provavelmente haveria uma variação de causa especial. Assim, segundo a mesma  planilha de dados (Dados da Lanchoneteria), qual foi esse dia?</t>
  </si>
  <si>
    <t>Resolução:</t>
  </si>
  <si>
    <t>Analisando o gráfico, nota-se que na quinta-feira o tempos de espera de lanches subiu para quase 10 minutos, pois, provavelmente foi o tempo que o pai do Antonio, Marcos, fez uma parada para trocar o gás.</t>
  </si>
  <si>
    <t>Criando os gráficos para cada dia da semana, para qual dia da semana listado abaixo, é possível ver uma clara diferença na média do tempo de espera entre o período da tarde e da noite?</t>
  </si>
  <si>
    <t>Utilize a mesma base de dados dos exercícios anteriores (Dados da Lanchoneteria).</t>
  </si>
  <si>
    <t>DIA</t>
  </si>
  <si>
    <t>A pergunta pede para mostrar qual dia tem uma variação da tarde para noite.</t>
  </si>
  <si>
    <t>aumento</t>
  </si>
  <si>
    <t>queda</t>
  </si>
  <si>
    <t>A média do tempo de espera da sexta-feira, da tarde para a noite é facilmente notável por conta do aumento do tempo e analizando as médias dos dias listados na pergunta, nota-se que apenas na sexta que tem um aumento real no tempo de espera</t>
  </si>
  <si>
    <t>PARTE 02 - Estudo da Franquida Lanchoneteria</t>
  </si>
  <si>
    <t>Antônio pensou em modificações no processo para diminuir o tempo médio de espera dos clientes. Então implementou essas mudanças com seu pai e anotou os tempos, criando também o gráfico abaixo.</t>
  </si>
  <si>
    <t>Gráfico do tempo de espera (em minutos) pelo número do pedido.</t>
  </si>
  <si>
    <t>Aproximadamente em quais pedidos essas mudanças foram implementadas?</t>
  </si>
  <si>
    <t>Pedidos 27 e 84.</t>
  </si>
  <si>
    <t>Pedidos 12 e 80.</t>
  </si>
  <si>
    <t>Pedidos 36 e 71.</t>
  </si>
  <si>
    <t>Pedidos 20 e 89.</t>
  </si>
  <si>
    <t>Marcado aondede verde aonde aparenta ter sido iniciado a implementação, nos pedidos 27* a 84*, o que mostra as variações subindo e ficando estaticas conforme a linha verde</t>
  </si>
  <si>
    <t>Qual foi o resultado da primeira mudança? E da segunda mudança?</t>
  </si>
  <si>
    <t>Aumentou o tempo de espera ; aumentou o tempo de espera.</t>
  </si>
  <si>
    <t>Diminuiu o tempo de espera ; aumentou o tempo de espera.</t>
  </si>
  <si>
    <t>Diminuiu o tempo de espera ; diminuiu o tempo de espera.</t>
  </si>
  <si>
    <t>Aumentou o tempo de espera ; diminuiu o tempo de espera.</t>
  </si>
  <si>
    <t>A Primeira mudança aumentou o tempo de espera (média), já a segunda; ela reduzil o tempo de espera (Bem menos que antes das implementações)</t>
  </si>
  <si>
    <t>Ainda com base no gráfico apresentado acima, qual mudança foi uma melhoria para o processo?</t>
  </si>
  <si>
    <t>Nenhuma.</t>
  </si>
  <si>
    <t>A primeira.</t>
  </si>
  <si>
    <t>A segunda.</t>
  </si>
  <si>
    <t>Ambas.</t>
  </si>
  <si>
    <t>Como dito acima, após a implementação da segunda mudança, houve uma retusdação do tempo bem se comparada antes da implementação e depois da primeira implementação</t>
  </si>
  <si>
    <t>Estudo da Franquia Lanchoneteria - Parte 3</t>
  </si>
  <si>
    <t>Agora que os lanches eram entregues mais rapidamente, a Lanchoneteria decolou! Marcos pretende abrir um restaurante na cidade vizinha, e para isso precisa entender quais são os lanches mais pedidos, para abastecer a cozinha da filial. Para isso, Suzane anotou todos os lanches pedidos em um dia, e passou para uma planilha online. Agora, Antônio precisa trabalhar os dados disponíveis na planilha: Dados dos lanches pedidos (2ª aba)</t>
  </si>
  <si>
    <t>Com base na planilha, para qual lanche Marcos precisa de um estoque de ingredientes maior, e qual o lanche cujo estoque de ingredientes pode ser o menor?</t>
  </si>
  <si>
    <t>Atenção: a permissão da planilha é de visualização. Você pode baixá-la ou copiar os dados para uma outra planilha para fazer as alterações desejadas.</t>
  </si>
  <si>
    <t>Natural e Mortadela.</t>
  </si>
  <si>
    <t>Mortadela e X-Burguer.</t>
  </si>
  <si>
    <t>X-Burguer e Mortadela.</t>
  </si>
  <si>
    <t>Hambúrguer e Misto Quente.</t>
  </si>
  <si>
    <t>Misto Quente e Natural.</t>
  </si>
  <si>
    <t>PLAILHA EM</t>
  </si>
  <si>
    <t>Contagem de Lanche</t>
  </si>
  <si>
    <t>Mais pedido</t>
  </si>
  <si>
    <t>Menos pedido</t>
  </si>
  <si>
    <t>Inserindo uma tabela dinamica ou calculando todos os lanches nota-se que o misto quente tem mais pedidos e o Natural tem menos pedidos</t>
  </si>
  <si>
    <t>Considerando os quatro dias, quantos lanches do tipo "Misto Quente" foram pedidos na parte da tarde?*</t>
  </si>
  <si>
    <r>
      <t xml:space="preserve">Inserindo Turno em linhas junto do Lanche nós conseguimos visualizar os valores das vendas de cada lanche por turno, seja da tarde ou da noite e o seu respectivo total (Isso não se separa por dias, é o total dos dias)
</t>
    </r>
    <r>
      <rPr>
        <b/>
        <sz val="11"/>
        <color theme="1"/>
        <rFont val="Aptos Narrow"/>
        <family val="2"/>
        <scheme val="minor"/>
      </rPr>
      <t>Nota:</t>
    </r>
    <r>
      <rPr>
        <sz val="11"/>
        <color theme="1"/>
        <rFont val="Aptos Narrow"/>
        <family val="2"/>
        <scheme val="minor"/>
      </rPr>
      <t xml:space="preserve"> temos apenas 4 dias nos nossos dados e a questão não pede um dia especifico</t>
    </r>
  </si>
  <si>
    <t>O gráfico de barras apresentado abaixo melhor representa qual dia?</t>
  </si>
  <si>
    <t>Dia 1</t>
  </si>
  <si>
    <t>Dia 2</t>
  </si>
  <si>
    <t>Dia 3</t>
  </si>
  <si>
    <t>Dia 4</t>
  </si>
  <si>
    <t>O gráfico não representa nenhum dos dias.</t>
  </si>
  <si>
    <t>Contagem de Lanche2</t>
  </si>
  <si>
    <t>Grafico para comparação dos dias:</t>
  </si>
  <si>
    <t>Abaixo são apresentados gráficos 1, 2, 3 e 4, respectivamente, para representar as vendas do mesmo dia. De todos os gráficos, apenas um está incorreto. Assinale a alternativa incorreta.</t>
  </si>
  <si>
    <t>Atenção: para expandir a imagem, clique com o dedo direito na figura, e selecione "Abrir imagem em uma nova guia".</t>
  </si>
  <si>
    <t>PLANILHA EM:</t>
  </si>
  <si>
    <t>Gráfico 1</t>
  </si>
  <si>
    <t>Gráfico 2</t>
  </si>
  <si>
    <t>Gráfico 3</t>
  </si>
  <si>
    <t>Gráfico 4</t>
  </si>
  <si>
    <t>Ao todo, qual foi o turno em que mais pedidos foram feitos?</t>
  </si>
  <si>
    <t>Tarde.</t>
  </si>
  <si>
    <t>Noite.</t>
  </si>
  <si>
    <t>A mesma quantidade de pedidos foi feita nos turnos da tarde e da noite.</t>
  </si>
  <si>
    <t>Criando uma tabela dinamica e olhando por Turno X Lanches nos encontramos o turno que mais saiu as vendas e o total (100)</t>
  </si>
  <si>
    <t>Qual o lanche mais vendido no período da noite? Quantos desse lanche foram vendidos em todas as noites somadas?</t>
  </si>
  <si>
    <t>Natural - 9</t>
  </si>
  <si>
    <t>Hambúrguer - 20</t>
  </si>
  <si>
    <t>X-Burguer - 22</t>
  </si>
  <si>
    <t>Misto quente - 29</t>
  </si>
  <si>
    <t>Mortadela - 7</t>
  </si>
  <si>
    <t>Média:</t>
  </si>
  <si>
    <t>Estudo da Franquia Lanchoneteria - Parte 4</t>
  </si>
  <si>
    <t>Finalmente, a filial da Lanchoneteria foi aberta na cidade vizinha! O gerente da nova filial decidiu fazer uma enquete para decidir qual aspecto do restaurante os clientes mais gostavam (As escolhas eram: Sabor, Temperatura do lanche, Atendimento, Decoração do restaurante, Velocidade de preparo e Outros). Além disso, ele pediu para os clientes darem uma nota de 0 a 10 para a loja. Ele coletou os dados e encontrou o resultado expresso pela planilha: Dados da nova filial (3ª aba)</t>
  </si>
  <si>
    <t>Construa um gráfico de Pareto para os aspectos do restaurante que os clientes mais gostaram. Com base nesse gráfico, qual o aspecto mais importante para os clientes?</t>
  </si>
  <si>
    <t>Sabor</t>
  </si>
  <si>
    <t>Temperatura</t>
  </si>
  <si>
    <t>Atendimento</t>
  </si>
  <si>
    <t>Decoração</t>
  </si>
  <si>
    <t>Velocidade</t>
  </si>
  <si>
    <t>Outros</t>
  </si>
  <si>
    <t>Contagem de Aspecto Favorito</t>
  </si>
  <si>
    <t>A soma das porcentagens de quais aspectos equivale a 44% das respostas?</t>
  </si>
  <si>
    <t>Outros, Temperatura e Velocidade.</t>
  </si>
  <si>
    <t>Sabor e Temperatura.</t>
  </si>
  <si>
    <t>Atendimento e Sabor.</t>
  </si>
  <si>
    <t>Decoração e Atendimento.</t>
  </si>
  <si>
    <t>Letra A</t>
  </si>
  <si>
    <t>Letra B</t>
  </si>
  <si>
    <t>Letra C</t>
  </si>
  <si>
    <t>Letra D</t>
  </si>
  <si>
    <t>Antônio construiu quatro histogramas (1, 2, 3 e 4, respectivamente) expressando as notas dadas pelos clientes. Qual histograma permite uma melhor visualização geral dos dados?</t>
  </si>
  <si>
    <r>
      <rPr>
        <b/>
        <sz val="11"/>
        <color theme="1"/>
        <rFont val="Aptos Narrow"/>
        <family val="2"/>
        <scheme val="minor"/>
      </rPr>
      <t>Atenção</t>
    </r>
    <r>
      <rPr>
        <sz val="11"/>
        <color theme="1"/>
        <rFont val="Aptos Narrow"/>
        <family val="2"/>
        <scheme val="minor"/>
      </rPr>
      <t>: para expandir a imagem, clique com o dedo direito na figura, e selecione "Abrir imagem em uma nova guia"</t>
    </r>
  </si>
  <si>
    <t>Histograma 1</t>
  </si>
  <si>
    <t>Histograma 2</t>
  </si>
  <si>
    <t>Histograma 3</t>
  </si>
  <si>
    <t>Histograma 4</t>
  </si>
  <si>
    <t>O Histogrgama tem que nos permitit ver uma boa dstribuição dos dados, com tipo um intervalo de 1,6 a 1,8
O Histograma 3 tem um intervalo bom, o 4 tem um intervalo muito pequeno de 0,1 o que não nos ajuda a olhar a centralidade e notas que mais aparecem</t>
  </si>
  <si>
    <t>Ao construir um histograma para as notas dadas pelos clientes, qual a centralidade observada?</t>
  </si>
  <si>
    <t>Podemos olhar o grafico 3 da ultima questão ou criar o nosso próprio histograma como consta na pagina Planilha 1 desse arquivo excel</t>
  </si>
  <si>
    <r>
      <t xml:space="preserve">Qual o </t>
    </r>
    <r>
      <rPr>
        <b/>
        <sz val="11"/>
        <color theme="1"/>
        <rFont val="Aptos Narrow"/>
        <family val="2"/>
        <scheme val="minor"/>
      </rPr>
      <t>limite inferio</t>
    </r>
    <r>
      <rPr>
        <sz val="11"/>
        <color theme="1"/>
        <rFont val="Aptos Narrow"/>
        <family val="2"/>
        <scheme val="minor"/>
      </rPr>
      <t>r do histograma para as notas dadas pelos clientes?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</si>
</sst>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rgb="FF202124"/>
      <name val="Arial"/>
      <family val="2"/>
    </font>
    <font>
      <sz val="11"/>
      <color rgb="FFFF000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202124"/>
      <name val="Arial"/>
      <family val="2"/>
    </font>
    <font>
      <b/>
      <sz val="11"/>
      <color rgb="FF202124"/>
      <name val="Arial"/>
      <family val="2"/>
    </font>
    <font>
      <i/>
      <sz val="11"/>
      <color rgb="FF202124"/>
      <name val="Arial"/>
      <family val="2"/>
    </font>
    <font>
      <sz val="12"/>
      <color rgb="FF1E8E3E"/>
      <name val="Arial"/>
      <family val="2"/>
    </font>
    <font>
      <sz val="11"/>
      <color rgb="FF70757A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5" tint="0.3999755851924192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CCCCCC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9" fontId="16" fillId="0" borderId="0" applyFont="0" applyFill="0" applyBorder="0" applyAlignment="0" applyProtection="0"/>
  </cellStyleXfs>
  <cellXfs count="16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 indent="1"/>
    </xf>
    <xf numFmtId="0" fontId="1" fillId="0" borderId="0" xfId="0" applyFont="1"/>
    <xf numFmtId="0" fontId="4" fillId="0" borderId="0" xfId="0" applyFont="1" applyAlignment="1">
      <alignment wrapText="1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left" wrapText="1" indent="2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0" fillId="0" borderId="0" xfId="0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7" xfId="0" applyBorder="1"/>
    <xf numFmtId="0" fontId="0" fillId="0" borderId="11" xfId="0" applyBorder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wrapText="1"/>
    </xf>
    <xf numFmtId="0" fontId="12" fillId="0" borderId="0" xfId="1" applyBorder="1"/>
    <xf numFmtId="0" fontId="0" fillId="0" borderId="11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12" fillId="0" borderId="0" xfId="1" applyBorder="1" applyAlignment="1">
      <alignment horizontal="right"/>
    </xf>
    <xf numFmtId="0" fontId="13" fillId="0" borderId="0" xfId="0" applyFont="1"/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12" fillId="0" borderId="0" xfId="1" applyBorder="1" applyAlignment="1">
      <alignment wrapText="1"/>
    </xf>
    <xf numFmtId="0" fontId="12" fillId="0" borderId="0" xfId="1" applyBorder="1" applyAlignment="1">
      <alignment horizontal="right" wrapText="1"/>
    </xf>
    <xf numFmtId="0" fontId="12" fillId="0" borderId="9" xfId="1" applyBorder="1" applyAlignment="1">
      <alignment wrapText="1"/>
    </xf>
    <xf numFmtId="0" fontId="12" fillId="0" borderId="9" xfId="1" applyBorder="1" applyAlignment="1">
      <alignment horizontal="right" wrapText="1"/>
    </xf>
    <xf numFmtId="0" fontId="15" fillId="0" borderId="0" xfId="1" applyFont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top" wrapText="1"/>
    </xf>
    <xf numFmtId="0" fontId="12" fillId="0" borderId="0" xfId="1" applyBorder="1" applyAlignment="1">
      <alignment vertical="top" wrapText="1"/>
    </xf>
    <xf numFmtId="0" fontId="12" fillId="0" borderId="0" xfId="1" applyBorder="1" applyAlignment="1">
      <alignment horizontal="right" vertical="top" wrapText="1"/>
    </xf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2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vertical="center"/>
    </xf>
    <xf numFmtId="2" fontId="1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/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3" borderId="0" xfId="0" applyNumberFormat="1" applyFont="1" applyFill="1" applyAlignment="1">
      <alignment horizontal="center"/>
    </xf>
    <xf numFmtId="16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2" fillId="0" borderId="0" xfId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2" fontId="1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" fillId="0" borderId="13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 wrapText="1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0" xfId="0" applyAlignment="1">
      <alignment horizontal="left"/>
    </xf>
    <xf numFmtId="0" fontId="12" fillId="0" borderId="0" xfId="1" applyAlignment="1">
      <alignment horizontal="left" vertical="center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1" fillId="4" borderId="4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1" fillId="4" borderId="9" xfId="0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1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0" fillId="0" borderId="7" xfId="0" applyBorder="1" applyAlignment="1">
      <alignment horizontal="left" wrapText="1" indent="1"/>
    </xf>
    <xf numFmtId="0" fontId="0" fillId="0" borderId="0" xfId="0" applyAlignment="1">
      <alignment horizontal="left" wrapText="1" inden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11" fillId="0" borderId="7" xfId="0" applyFont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12" fillId="0" borderId="0" xfId="1" applyAlignment="1">
      <alignment horizontal="center"/>
    </xf>
    <xf numFmtId="0" fontId="0" fillId="0" borderId="13" xfId="0" applyBorder="1" applyAlignment="1">
      <alignment horizontal="right" vertical="center" wrapText="1"/>
    </xf>
    <xf numFmtId="0" fontId="0" fillId="0" borderId="9" xfId="0" applyBorder="1" applyAlignment="1">
      <alignment horizontal="left" wrapText="1"/>
    </xf>
    <xf numFmtId="0" fontId="12" fillId="0" borderId="0" xfId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0" xfId="0" applyNumberFormat="1"/>
    <xf numFmtId="0" fontId="1" fillId="0" borderId="0" xfId="0" applyNumberFormat="1" applyFont="1"/>
    <xf numFmtId="0" fontId="0" fillId="0" borderId="0" xfId="0" applyBorder="1" applyAlignment="1">
      <alignment horizontal="left" vertical="top"/>
    </xf>
    <xf numFmtId="0" fontId="0" fillId="0" borderId="0" xfId="0" applyBorder="1"/>
    <xf numFmtId="0" fontId="12" fillId="0" borderId="0" xfId="1"/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0" xfId="0" applyBorder="1" applyAlignment="1">
      <alignment horizontal="left" vertical="top" wrapText="1"/>
    </xf>
    <xf numFmtId="0" fontId="0" fillId="5" borderId="0" xfId="0" applyFill="1" applyAlignment="1">
      <alignment horizontal="left" indent="1"/>
    </xf>
    <xf numFmtId="0" fontId="0" fillId="5" borderId="0" xfId="0" applyNumberFormat="1" applyFill="1"/>
    <xf numFmtId="0" fontId="0" fillId="0" borderId="0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top" wrapText="1"/>
    </xf>
    <xf numFmtId="0" fontId="1" fillId="0" borderId="0" xfId="0" applyFont="1" applyAlignment="1">
      <alignment horizontal="right"/>
    </xf>
    <xf numFmtId="0" fontId="0" fillId="5" borderId="0" xfId="0" applyFill="1"/>
    <xf numFmtId="0" fontId="0" fillId="4" borderId="4" xfId="0" applyFill="1" applyBorder="1" applyAlignment="1">
      <alignment horizontal="center"/>
    </xf>
    <xf numFmtId="9" fontId="0" fillId="0" borderId="0" xfId="2" applyFont="1"/>
    <xf numFmtId="9" fontId="0" fillId="0" borderId="0" xfId="0" applyNumberFormat="1"/>
    <xf numFmtId="9" fontId="0" fillId="5" borderId="0" xfId="0" applyNumberFormat="1" applyFill="1"/>
    <xf numFmtId="168" fontId="0" fillId="0" borderId="0" xfId="0" applyNumberFormat="1"/>
  </cellXfs>
  <cellStyles count="3">
    <cellStyle name="Hiperlink" xfId="1" builtinId="8"/>
    <cellStyle name="Normal" xfId="0" builtinId="0"/>
    <cellStyle name="Porcentagem" xfId="2" builtinId="5"/>
  </cellStyles>
  <dxfs count="7"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[Questionário do Yelow Belt.xlsx]Part3!Tabela dinâmica1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Part3!$H$46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Part3!$G$47:$G$59</c:f>
              <c:multiLvlStrCache>
                <c:ptCount val="8"/>
                <c:lvl>
                  <c:pt idx="1">
                    <c:v>NOITE</c:v>
                  </c:pt>
                  <c:pt idx="2">
                    <c:v>TARDE</c:v>
                  </c:pt>
                  <c:pt idx="3">
                    <c:v>NOITE</c:v>
                  </c:pt>
                  <c:pt idx="4">
                    <c:v>TARDE</c:v>
                  </c:pt>
                  <c:pt idx="5">
                    <c:v>NOITE</c:v>
                  </c:pt>
                  <c:pt idx="6">
                    <c:v>TARDE</c:v>
                  </c:pt>
                  <c:pt idx="7">
                    <c:v>NOITE</c:v>
                  </c:pt>
                </c:lvl>
                <c:lvl>
                  <c:pt idx="0">
                    <c:v>HAMBÚRGUER</c:v>
                  </c:pt>
                  <c:pt idx="1">
                    <c:v>MISTO QUENTE</c:v>
                  </c:pt>
                  <c:pt idx="3">
                    <c:v>MORTADELA</c:v>
                  </c:pt>
                  <c:pt idx="5">
                    <c:v>NATURAL</c:v>
                  </c:pt>
                  <c:pt idx="7">
                    <c:v>X-BURGUER</c:v>
                  </c:pt>
                </c:lvl>
              </c:multiLvlStrCache>
            </c:multiLvlStrRef>
          </c:cat>
          <c:val>
            <c:numRef>
              <c:f>Part3!$H$47:$H$59</c:f>
              <c:numCache>
                <c:formatCode>General</c:formatCode>
                <c:ptCount val="8"/>
                <c:pt idx="0">
                  <c:v>5</c:v>
                </c:pt>
                <c:pt idx="1">
                  <c:v>2</c:v>
                </c:pt>
                <c:pt idx="2">
                  <c:v>5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F8-458D-AA41-D3B76B743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8821488"/>
        <c:axId val="1208828688"/>
      </c:barChart>
      <c:catAx>
        <c:axId val="120882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8828688"/>
        <c:crosses val="autoZero"/>
        <c:auto val="1"/>
        <c:lblAlgn val="ctr"/>
        <c:lblOffset val="100"/>
        <c:noMultiLvlLbl val="0"/>
      </c:catAx>
      <c:valAx>
        <c:axId val="120882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882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'1.c'!$B$1</c:f>
              <c:strCache>
                <c:ptCount val="1"/>
                <c:pt idx="0">
                  <c:v>TEMPO DE ESPERA (MINUTOS)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60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1A2-42CD-8FD3-EDA069844A5A}"/>
              </c:ext>
            </c:extLst>
          </c:dPt>
          <c:val>
            <c:numRef>
              <c:f>'1.c'!$B$2:$B$184</c:f>
              <c:numCache>
                <c:formatCode>General</c:formatCode>
                <c:ptCount val="183"/>
                <c:pt idx="0">
                  <c:v>4.83</c:v>
                </c:pt>
                <c:pt idx="1">
                  <c:v>4.78</c:v>
                </c:pt>
                <c:pt idx="2">
                  <c:v>4.5999999999999996</c:v>
                </c:pt>
                <c:pt idx="3">
                  <c:v>5.1100000000000003</c:v>
                </c:pt>
                <c:pt idx="4">
                  <c:v>5.13</c:v>
                </c:pt>
                <c:pt idx="5">
                  <c:v>5.05</c:v>
                </c:pt>
                <c:pt idx="6">
                  <c:v>4.7699999999999996</c:v>
                </c:pt>
                <c:pt idx="7">
                  <c:v>4.8</c:v>
                </c:pt>
                <c:pt idx="8">
                  <c:v>5.0199999999999996</c:v>
                </c:pt>
                <c:pt idx="9">
                  <c:v>5.12</c:v>
                </c:pt>
                <c:pt idx="10">
                  <c:v>4.9000000000000004</c:v>
                </c:pt>
                <c:pt idx="11">
                  <c:v>5.13</c:v>
                </c:pt>
                <c:pt idx="12">
                  <c:v>4.57</c:v>
                </c:pt>
                <c:pt idx="13">
                  <c:v>5</c:v>
                </c:pt>
                <c:pt idx="14">
                  <c:v>4.9000000000000004</c:v>
                </c:pt>
                <c:pt idx="15">
                  <c:v>5.27</c:v>
                </c:pt>
                <c:pt idx="16">
                  <c:v>5</c:v>
                </c:pt>
                <c:pt idx="17">
                  <c:v>4.83</c:v>
                </c:pt>
                <c:pt idx="18">
                  <c:v>5.03</c:v>
                </c:pt>
                <c:pt idx="19">
                  <c:v>4.5999999999999996</c:v>
                </c:pt>
                <c:pt idx="20">
                  <c:v>5.0199999999999996</c:v>
                </c:pt>
                <c:pt idx="21">
                  <c:v>5.12</c:v>
                </c:pt>
                <c:pt idx="22">
                  <c:v>5.07</c:v>
                </c:pt>
                <c:pt idx="23">
                  <c:v>4.97</c:v>
                </c:pt>
                <c:pt idx="24">
                  <c:v>5.23</c:v>
                </c:pt>
                <c:pt idx="25">
                  <c:v>4.68</c:v>
                </c:pt>
                <c:pt idx="26">
                  <c:v>4.99</c:v>
                </c:pt>
                <c:pt idx="27">
                  <c:v>4.93</c:v>
                </c:pt>
                <c:pt idx="28">
                  <c:v>4.79</c:v>
                </c:pt>
                <c:pt idx="29">
                  <c:v>5.31</c:v>
                </c:pt>
                <c:pt idx="30">
                  <c:v>5.07</c:v>
                </c:pt>
                <c:pt idx="31">
                  <c:v>4.87</c:v>
                </c:pt>
                <c:pt idx="32">
                  <c:v>5.3</c:v>
                </c:pt>
                <c:pt idx="33">
                  <c:v>5.1100000000000003</c:v>
                </c:pt>
                <c:pt idx="34">
                  <c:v>5.09</c:v>
                </c:pt>
                <c:pt idx="35">
                  <c:v>5.55</c:v>
                </c:pt>
                <c:pt idx="36">
                  <c:v>4.82</c:v>
                </c:pt>
                <c:pt idx="37">
                  <c:v>4.7</c:v>
                </c:pt>
                <c:pt idx="38">
                  <c:v>5.18</c:v>
                </c:pt>
                <c:pt idx="39">
                  <c:v>5.16</c:v>
                </c:pt>
                <c:pt idx="40">
                  <c:v>5.22</c:v>
                </c:pt>
                <c:pt idx="41">
                  <c:v>5.36</c:v>
                </c:pt>
                <c:pt idx="42">
                  <c:v>5.3</c:v>
                </c:pt>
                <c:pt idx="43">
                  <c:v>5.51</c:v>
                </c:pt>
                <c:pt idx="44">
                  <c:v>5.15</c:v>
                </c:pt>
                <c:pt idx="45">
                  <c:v>5.18</c:v>
                </c:pt>
                <c:pt idx="46">
                  <c:v>5.0999999999999996</c:v>
                </c:pt>
                <c:pt idx="47">
                  <c:v>5.29</c:v>
                </c:pt>
                <c:pt idx="48">
                  <c:v>5.85</c:v>
                </c:pt>
                <c:pt idx="49">
                  <c:v>5.33</c:v>
                </c:pt>
                <c:pt idx="50">
                  <c:v>5.0599999999999996</c:v>
                </c:pt>
                <c:pt idx="51">
                  <c:v>5.26</c:v>
                </c:pt>
                <c:pt idx="52">
                  <c:v>5.51</c:v>
                </c:pt>
                <c:pt idx="53">
                  <c:v>5.18</c:v>
                </c:pt>
                <c:pt idx="54">
                  <c:v>5.66</c:v>
                </c:pt>
                <c:pt idx="55">
                  <c:v>5.1100000000000003</c:v>
                </c:pt>
                <c:pt idx="56">
                  <c:v>5.17</c:v>
                </c:pt>
                <c:pt idx="57">
                  <c:v>5.61</c:v>
                </c:pt>
                <c:pt idx="58">
                  <c:v>5.36</c:v>
                </c:pt>
                <c:pt idx="59">
                  <c:v>4.92</c:v>
                </c:pt>
                <c:pt idx="60">
                  <c:v>9.49</c:v>
                </c:pt>
                <c:pt idx="61">
                  <c:v>5.7</c:v>
                </c:pt>
                <c:pt idx="62">
                  <c:v>5.37</c:v>
                </c:pt>
                <c:pt idx="63">
                  <c:v>5</c:v>
                </c:pt>
                <c:pt idx="64">
                  <c:v>5.62</c:v>
                </c:pt>
                <c:pt idx="65">
                  <c:v>4.8099999999999996</c:v>
                </c:pt>
                <c:pt idx="66">
                  <c:v>4.71</c:v>
                </c:pt>
                <c:pt idx="67">
                  <c:v>4.91</c:v>
                </c:pt>
                <c:pt idx="68">
                  <c:v>5.0599999999999996</c:v>
                </c:pt>
                <c:pt idx="69">
                  <c:v>4.72</c:v>
                </c:pt>
                <c:pt idx="70">
                  <c:v>4.76</c:v>
                </c:pt>
                <c:pt idx="71">
                  <c:v>5.12</c:v>
                </c:pt>
                <c:pt idx="72">
                  <c:v>4.6500000000000004</c:v>
                </c:pt>
                <c:pt idx="73">
                  <c:v>5.51</c:v>
                </c:pt>
                <c:pt idx="74">
                  <c:v>5.07</c:v>
                </c:pt>
                <c:pt idx="75">
                  <c:v>5.26</c:v>
                </c:pt>
                <c:pt idx="76">
                  <c:v>7.02</c:v>
                </c:pt>
                <c:pt idx="77">
                  <c:v>6.55</c:v>
                </c:pt>
                <c:pt idx="78">
                  <c:v>7.2</c:v>
                </c:pt>
                <c:pt idx="79">
                  <c:v>6.83</c:v>
                </c:pt>
                <c:pt idx="80">
                  <c:v>7.1</c:v>
                </c:pt>
                <c:pt idx="81">
                  <c:v>6.86</c:v>
                </c:pt>
                <c:pt idx="82">
                  <c:v>5.5</c:v>
                </c:pt>
                <c:pt idx="83">
                  <c:v>6.32</c:v>
                </c:pt>
                <c:pt idx="84">
                  <c:v>6.16</c:v>
                </c:pt>
                <c:pt idx="85">
                  <c:v>6.31</c:v>
                </c:pt>
                <c:pt idx="86">
                  <c:v>6.8</c:v>
                </c:pt>
                <c:pt idx="87">
                  <c:v>5.96</c:v>
                </c:pt>
                <c:pt idx="88">
                  <c:v>6.5</c:v>
                </c:pt>
                <c:pt idx="89">
                  <c:v>6.46</c:v>
                </c:pt>
                <c:pt idx="90">
                  <c:v>6.29</c:v>
                </c:pt>
                <c:pt idx="91">
                  <c:v>6.25</c:v>
                </c:pt>
                <c:pt idx="92">
                  <c:v>7.02</c:v>
                </c:pt>
                <c:pt idx="93">
                  <c:v>6.19</c:v>
                </c:pt>
                <c:pt idx="94">
                  <c:v>6.16</c:v>
                </c:pt>
                <c:pt idx="95">
                  <c:v>6.64</c:v>
                </c:pt>
                <c:pt idx="96">
                  <c:v>5.65</c:v>
                </c:pt>
                <c:pt idx="97">
                  <c:v>6.83</c:v>
                </c:pt>
                <c:pt idx="98">
                  <c:v>6.27</c:v>
                </c:pt>
                <c:pt idx="99">
                  <c:v>7.2</c:v>
                </c:pt>
                <c:pt idx="100">
                  <c:v>6.83</c:v>
                </c:pt>
                <c:pt idx="101">
                  <c:v>5.37</c:v>
                </c:pt>
                <c:pt idx="102">
                  <c:v>5.52</c:v>
                </c:pt>
                <c:pt idx="103">
                  <c:v>4.6100000000000003</c:v>
                </c:pt>
                <c:pt idx="104">
                  <c:v>5.66</c:v>
                </c:pt>
                <c:pt idx="105">
                  <c:v>5.16</c:v>
                </c:pt>
                <c:pt idx="106">
                  <c:v>5.41</c:v>
                </c:pt>
                <c:pt idx="107">
                  <c:v>5.07</c:v>
                </c:pt>
                <c:pt idx="108">
                  <c:v>5.15</c:v>
                </c:pt>
                <c:pt idx="109">
                  <c:v>5.23</c:v>
                </c:pt>
                <c:pt idx="110">
                  <c:v>4.8600000000000003</c:v>
                </c:pt>
                <c:pt idx="111">
                  <c:v>5.13</c:v>
                </c:pt>
                <c:pt idx="112">
                  <c:v>4.74</c:v>
                </c:pt>
                <c:pt idx="113">
                  <c:v>5.25</c:v>
                </c:pt>
                <c:pt idx="114">
                  <c:v>5.61</c:v>
                </c:pt>
                <c:pt idx="115">
                  <c:v>8.14</c:v>
                </c:pt>
                <c:pt idx="116">
                  <c:v>5.74</c:v>
                </c:pt>
                <c:pt idx="117">
                  <c:v>7.87</c:v>
                </c:pt>
                <c:pt idx="118">
                  <c:v>4.59</c:v>
                </c:pt>
                <c:pt idx="119">
                  <c:v>7.39</c:v>
                </c:pt>
                <c:pt idx="120">
                  <c:v>6.09</c:v>
                </c:pt>
                <c:pt idx="121">
                  <c:v>8.1</c:v>
                </c:pt>
                <c:pt idx="122">
                  <c:v>7.09</c:v>
                </c:pt>
                <c:pt idx="123">
                  <c:v>7.58</c:v>
                </c:pt>
                <c:pt idx="124">
                  <c:v>7.38</c:v>
                </c:pt>
                <c:pt idx="125">
                  <c:v>5.49</c:v>
                </c:pt>
                <c:pt idx="126">
                  <c:v>7.83</c:v>
                </c:pt>
                <c:pt idx="127">
                  <c:v>6.88</c:v>
                </c:pt>
                <c:pt idx="128">
                  <c:v>5.75</c:v>
                </c:pt>
                <c:pt idx="129">
                  <c:v>8.23</c:v>
                </c:pt>
                <c:pt idx="130">
                  <c:v>6.53</c:v>
                </c:pt>
                <c:pt idx="131">
                  <c:v>7.42</c:v>
                </c:pt>
                <c:pt idx="132">
                  <c:v>5.17</c:v>
                </c:pt>
                <c:pt idx="133">
                  <c:v>7.63</c:v>
                </c:pt>
                <c:pt idx="134">
                  <c:v>8.85</c:v>
                </c:pt>
                <c:pt idx="135">
                  <c:v>8.7100000000000009</c:v>
                </c:pt>
                <c:pt idx="136">
                  <c:v>7.53</c:v>
                </c:pt>
                <c:pt idx="137">
                  <c:v>6.99</c:v>
                </c:pt>
                <c:pt idx="138">
                  <c:v>5.13</c:v>
                </c:pt>
                <c:pt idx="139">
                  <c:v>7.33</c:v>
                </c:pt>
                <c:pt idx="140">
                  <c:v>5.95</c:v>
                </c:pt>
                <c:pt idx="141">
                  <c:v>6.3</c:v>
                </c:pt>
                <c:pt idx="142">
                  <c:v>5.85</c:v>
                </c:pt>
                <c:pt idx="143">
                  <c:v>5.04</c:v>
                </c:pt>
                <c:pt idx="144">
                  <c:v>4.95</c:v>
                </c:pt>
                <c:pt idx="145">
                  <c:v>5.74</c:v>
                </c:pt>
                <c:pt idx="146">
                  <c:v>5.37</c:v>
                </c:pt>
                <c:pt idx="147">
                  <c:v>5.19</c:v>
                </c:pt>
                <c:pt idx="148">
                  <c:v>5.58</c:v>
                </c:pt>
                <c:pt idx="149">
                  <c:v>4.7</c:v>
                </c:pt>
                <c:pt idx="150">
                  <c:v>5.1100000000000003</c:v>
                </c:pt>
                <c:pt idx="151">
                  <c:v>4.82</c:v>
                </c:pt>
                <c:pt idx="152">
                  <c:v>5.25</c:v>
                </c:pt>
                <c:pt idx="153">
                  <c:v>5.63</c:v>
                </c:pt>
                <c:pt idx="154">
                  <c:v>5.15</c:v>
                </c:pt>
                <c:pt idx="155">
                  <c:v>5.04</c:v>
                </c:pt>
                <c:pt idx="156">
                  <c:v>4.92</c:v>
                </c:pt>
                <c:pt idx="157">
                  <c:v>4.87</c:v>
                </c:pt>
                <c:pt idx="158">
                  <c:v>4.91</c:v>
                </c:pt>
                <c:pt idx="159">
                  <c:v>4.95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A2-42CD-8FD3-EDA069844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6647600"/>
        <c:axId val="826648080"/>
      </c:lineChart>
      <c:catAx>
        <c:axId val="826647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6648080"/>
        <c:crosses val="autoZero"/>
        <c:auto val="1"/>
        <c:lblAlgn val="ctr"/>
        <c:lblOffset val="100"/>
        <c:noMultiLvlLbl val="0"/>
      </c:catAx>
      <c:valAx>
        <c:axId val="82664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664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'1.c'!$B$1</c:f>
              <c:strCache>
                <c:ptCount val="1"/>
                <c:pt idx="0">
                  <c:v>TEMPO DE ESPERA (MINUTOS)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'1.c'!$B$2:$B$184</c:f>
              <c:numCache>
                <c:formatCode>General</c:formatCode>
                <c:ptCount val="183"/>
                <c:pt idx="0">
                  <c:v>4.83</c:v>
                </c:pt>
                <c:pt idx="1">
                  <c:v>4.78</c:v>
                </c:pt>
                <c:pt idx="2">
                  <c:v>4.5999999999999996</c:v>
                </c:pt>
                <c:pt idx="3">
                  <c:v>5.1100000000000003</c:v>
                </c:pt>
                <c:pt idx="4">
                  <c:v>5.13</c:v>
                </c:pt>
                <c:pt idx="5">
                  <c:v>5.05</c:v>
                </c:pt>
                <c:pt idx="6">
                  <c:v>4.7699999999999996</c:v>
                </c:pt>
                <c:pt idx="7">
                  <c:v>4.8</c:v>
                </c:pt>
                <c:pt idx="8">
                  <c:v>5.0199999999999996</c:v>
                </c:pt>
                <c:pt idx="9">
                  <c:v>5.12</c:v>
                </c:pt>
                <c:pt idx="10">
                  <c:v>4.9000000000000004</c:v>
                </c:pt>
                <c:pt idx="11">
                  <c:v>5.13</c:v>
                </c:pt>
                <c:pt idx="12">
                  <c:v>4.57</c:v>
                </c:pt>
                <c:pt idx="13">
                  <c:v>5</c:v>
                </c:pt>
                <c:pt idx="14">
                  <c:v>4.9000000000000004</c:v>
                </c:pt>
                <c:pt idx="15">
                  <c:v>5.27</c:v>
                </c:pt>
                <c:pt idx="16">
                  <c:v>5</c:v>
                </c:pt>
                <c:pt idx="17">
                  <c:v>4.83</c:v>
                </c:pt>
                <c:pt idx="18">
                  <c:v>5.03</c:v>
                </c:pt>
                <c:pt idx="19">
                  <c:v>4.5999999999999996</c:v>
                </c:pt>
                <c:pt idx="20">
                  <c:v>5.0199999999999996</c:v>
                </c:pt>
                <c:pt idx="21">
                  <c:v>5.12</c:v>
                </c:pt>
                <c:pt idx="22">
                  <c:v>5.07</c:v>
                </c:pt>
                <c:pt idx="23">
                  <c:v>4.97</c:v>
                </c:pt>
                <c:pt idx="24">
                  <c:v>5.23</c:v>
                </c:pt>
                <c:pt idx="25">
                  <c:v>4.68</c:v>
                </c:pt>
                <c:pt idx="26">
                  <c:v>4.99</c:v>
                </c:pt>
                <c:pt idx="27">
                  <c:v>4.93</c:v>
                </c:pt>
                <c:pt idx="28">
                  <c:v>4.79</c:v>
                </c:pt>
                <c:pt idx="29">
                  <c:v>5.31</c:v>
                </c:pt>
                <c:pt idx="30">
                  <c:v>5.07</c:v>
                </c:pt>
                <c:pt idx="31">
                  <c:v>4.87</c:v>
                </c:pt>
                <c:pt idx="32">
                  <c:v>5.3</c:v>
                </c:pt>
                <c:pt idx="33">
                  <c:v>5.1100000000000003</c:v>
                </c:pt>
                <c:pt idx="34">
                  <c:v>5.09</c:v>
                </c:pt>
                <c:pt idx="35">
                  <c:v>5.55</c:v>
                </c:pt>
                <c:pt idx="36">
                  <c:v>4.82</c:v>
                </c:pt>
                <c:pt idx="37">
                  <c:v>4.7</c:v>
                </c:pt>
                <c:pt idx="38">
                  <c:v>5.18</c:v>
                </c:pt>
                <c:pt idx="39">
                  <c:v>5.16</c:v>
                </c:pt>
                <c:pt idx="40">
                  <c:v>5.22</c:v>
                </c:pt>
                <c:pt idx="41">
                  <c:v>5.36</c:v>
                </c:pt>
                <c:pt idx="42">
                  <c:v>5.3</c:v>
                </c:pt>
                <c:pt idx="43">
                  <c:v>5.51</c:v>
                </c:pt>
                <c:pt idx="44">
                  <c:v>5.15</c:v>
                </c:pt>
                <c:pt idx="45">
                  <c:v>5.18</c:v>
                </c:pt>
                <c:pt idx="46">
                  <c:v>5.0999999999999996</c:v>
                </c:pt>
                <c:pt idx="47">
                  <c:v>5.29</c:v>
                </c:pt>
                <c:pt idx="48">
                  <c:v>5.85</c:v>
                </c:pt>
                <c:pt idx="49">
                  <c:v>5.33</c:v>
                </c:pt>
                <c:pt idx="50">
                  <c:v>5.0599999999999996</c:v>
                </c:pt>
                <c:pt idx="51">
                  <c:v>5.26</c:v>
                </c:pt>
                <c:pt idx="52">
                  <c:v>5.51</c:v>
                </c:pt>
                <c:pt idx="53">
                  <c:v>5.18</c:v>
                </c:pt>
                <c:pt idx="54">
                  <c:v>5.66</c:v>
                </c:pt>
                <c:pt idx="55">
                  <c:v>5.1100000000000003</c:v>
                </c:pt>
                <c:pt idx="56">
                  <c:v>5.17</c:v>
                </c:pt>
                <c:pt idx="57">
                  <c:v>5.61</c:v>
                </c:pt>
                <c:pt idx="58">
                  <c:v>5.36</c:v>
                </c:pt>
                <c:pt idx="59">
                  <c:v>4.92</c:v>
                </c:pt>
                <c:pt idx="60">
                  <c:v>9.49</c:v>
                </c:pt>
                <c:pt idx="61">
                  <c:v>5.7</c:v>
                </c:pt>
                <c:pt idx="62">
                  <c:v>5.37</c:v>
                </c:pt>
                <c:pt idx="63">
                  <c:v>5</c:v>
                </c:pt>
                <c:pt idx="64">
                  <c:v>5.62</c:v>
                </c:pt>
                <c:pt idx="65">
                  <c:v>4.8099999999999996</c:v>
                </c:pt>
                <c:pt idx="66">
                  <c:v>4.71</c:v>
                </c:pt>
                <c:pt idx="67">
                  <c:v>4.91</c:v>
                </c:pt>
                <c:pt idx="68">
                  <c:v>5.0599999999999996</c:v>
                </c:pt>
                <c:pt idx="69">
                  <c:v>4.72</c:v>
                </c:pt>
                <c:pt idx="70">
                  <c:v>4.76</c:v>
                </c:pt>
                <c:pt idx="71">
                  <c:v>5.12</c:v>
                </c:pt>
                <c:pt idx="72">
                  <c:v>4.6500000000000004</c:v>
                </c:pt>
                <c:pt idx="73">
                  <c:v>5.51</c:v>
                </c:pt>
                <c:pt idx="74">
                  <c:v>5.07</c:v>
                </c:pt>
                <c:pt idx="75">
                  <c:v>5.26</c:v>
                </c:pt>
                <c:pt idx="76">
                  <c:v>7.02</c:v>
                </c:pt>
                <c:pt idx="77">
                  <c:v>6.55</c:v>
                </c:pt>
                <c:pt idx="78">
                  <c:v>7.2</c:v>
                </c:pt>
                <c:pt idx="79">
                  <c:v>6.83</c:v>
                </c:pt>
                <c:pt idx="80">
                  <c:v>7.1</c:v>
                </c:pt>
                <c:pt idx="81">
                  <c:v>6.86</c:v>
                </c:pt>
                <c:pt idx="82">
                  <c:v>5.5</c:v>
                </c:pt>
                <c:pt idx="83">
                  <c:v>6.32</c:v>
                </c:pt>
                <c:pt idx="84">
                  <c:v>6.16</c:v>
                </c:pt>
                <c:pt idx="85">
                  <c:v>6.31</c:v>
                </c:pt>
                <c:pt idx="86">
                  <c:v>6.8</c:v>
                </c:pt>
                <c:pt idx="87">
                  <c:v>5.96</c:v>
                </c:pt>
                <c:pt idx="88">
                  <c:v>6.5</c:v>
                </c:pt>
                <c:pt idx="89">
                  <c:v>6.46</c:v>
                </c:pt>
                <c:pt idx="90">
                  <c:v>6.29</c:v>
                </c:pt>
                <c:pt idx="91">
                  <c:v>6.25</c:v>
                </c:pt>
                <c:pt idx="92">
                  <c:v>7.02</c:v>
                </c:pt>
                <c:pt idx="93">
                  <c:v>6.19</c:v>
                </c:pt>
                <c:pt idx="94">
                  <c:v>6.16</c:v>
                </c:pt>
                <c:pt idx="95">
                  <c:v>6.64</c:v>
                </c:pt>
                <c:pt idx="96">
                  <c:v>5.65</c:v>
                </c:pt>
                <c:pt idx="97">
                  <c:v>6.83</c:v>
                </c:pt>
                <c:pt idx="98">
                  <c:v>6.27</c:v>
                </c:pt>
                <c:pt idx="99">
                  <c:v>7.2</c:v>
                </c:pt>
                <c:pt idx="100">
                  <c:v>6.83</c:v>
                </c:pt>
                <c:pt idx="101">
                  <c:v>5.37</c:v>
                </c:pt>
                <c:pt idx="102">
                  <c:v>5.52</c:v>
                </c:pt>
                <c:pt idx="103">
                  <c:v>4.6100000000000003</c:v>
                </c:pt>
                <c:pt idx="104">
                  <c:v>5.66</c:v>
                </c:pt>
                <c:pt idx="105">
                  <c:v>5.16</c:v>
                </c:pt>
                <c:pt idx="106">
                  <c:v>5.41</c:v>
                </c:pt>
                <c:pt idx="107">
                  <c:v>5.07</c:v>
                </c:pt>
                <c:pt idx="108">
                  <c:v>5.15</c:v>
                </c:pt>
                <c:pt idx="109">
                  <c:v>5.23</c:v>
                </c:pt>
                <c:pt idx="110">
                  <c:v>4.8600000000000003</c:v>
                </c:pt>
                <c:pt idx="111">
                  <c:v>5.13</c:v>
                </c:pt>
                <c:pt idx="112">
                  <c:v>4.74</c:v>
                </c:pt>
                <c:pt idx="113">
                  <c:v>5.25</c:v>
                </c:pt>
                <c:pt idx="114">
                  <c:v>5.61</c:v>
                </c:pt>
                <c:pt idx="115">
                  <c:v>8.14</c:v>
                </c:pt>
                <c:pt idx="116">
                  <c:v>5.74</c:v>
                </c:pt>
                <c:pt idx="117">
                  <c:v>7.87</c:v>
                </c:pt>
                <c:pt idx="118">
                  <c:v>4.59</c:v>
                </c:pt>
                <c:pt idx="119">
                  <c:v>7.39</c:v>
                </c:pt>
                <c:pt idx="120">
                  <c:v>6.09</c:v>
                </c:pt>
                <c:pt idx="121">
                  <c:v>8.1</c:v>
                </c:pt>
                <c:pt idx="122">
                  <c:v>7.09</c:v>
                </c:pt>
                <c:pt idx="123">
                  <c:v>7.58</c:v>
                </c:pt>
                <c:pt idx="124">
                  <c:v>7.38</c:v>
                </c:pt>
                <c:pt idx="125">
                  <c:v>5.49</c:v>
                </c:pt>
                <c:pt idx="126">
                  <c:v>7.83</c:v>
                </c:pt>
                <c:pt idx="127">
                  <c:v>6.88</c:v>
                </c:pt>
                <c:pt idx="128">
                  <c:v>5.75</c:v>
                </c:pt>
                <c:pt idx="129">
                  <c:v>8.23</c:v>
                </c:pt>
                <c:pt idx="130">
                  <c:v>6.53</c:v>
                </c:pt>
                <c:pt idx="131">
                  <c:v>7.42</c:v>
                </c:pt>
                <c:pt idx="132">
                  <c:v>5.17</c:v>
                </c:pt>
                <c:pt idx="133">
                  <c:v>7.63</c:v>
                </c:pt>
                <c:pt idx="134">
                  <c:v>8.85</c:v>
                </c:pt>
                <c:pt idx="135">
                  <c:v>8.7100000000000009</c:v>
                </c:pt>
                <c:pt idx="136">
                  <c:v>7.53</c:v>
                </c:pt>
                <c:pt idx="137">
                  <c:v>6.99</c:v>
                </c:pt>
                <c:pt idx="138">
                  <c:v>5.13</c:v>
                </c:pt>
                <c:pt idx="139">
                  <c:v>7.33</c:v>
                </c:pt>
                <c:pt idx="140">
                  <c:v>5.95</c:v>
                </c:pt>
                <c:pt idx="141">
                  <c:v>6.3</c:v>
                </c:pt>
                <c:pt idx="142">
                  <c:v>5.85</c:v>
                </c:pt>
                <c:pt idx="143">
                  <c:v>5.04</c:v>
                </c:pt>
                <c:pt idx="144">
                  <c:v>4.95</c:v>
                </c:pt>
                <c:pt idx="145">
                  <c:v>5.74</c:v>
                </c:pt>
                <c:pt idx="146">
                  <c:v>5.37</c:v>
                </c:pt>
                <c:pt idx="147">
                  <c:v>5.19</c:v>
                </c:pt>
                <c:pt idx="148">
                  <c:v>5.58</c:v>
                </c:pt>
                <c:pt idx="149">
                  <c:v>4.7</c:v>
                </c:pt>
                <c:pt idx="150">
                  <c:v>5.1100000000000003</c:v>
                </c:pt>
                <c:pt idx="151">
                  <c:v>4.82</c:v>
                </c:pt>
                <c:pt idx="152">
                  <c:v>5.25</c:v>
                </c:pt>
                <c:pt idx="153">
                  <c:v>5.63</c:v>
                </c:pt>
                <c:pt idx="154">
                  <c:v>5.15</c:v>
                </c:pt>
                <c:pt idx="155">
                  <c:v>5.04</c:v>
                </c:pt>
                <c:pt idx="156">
                  <c:v>4.92</c:v>
                </c:pt>
                <c:pt idx="157">
                  <c:v>4.87</c:v>
                </c:pt>
                <c:pt idx="158">
                  <c:v>4.91</c:v>
                </c:pt>
                <c:pt idx="159">
                  <c:v>4.95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62-4A55-9AE4-440CE11E5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6580448"/>
        <c:axId val="956581888"/>
      </c:scatterChart>
      <c:valAx>
        <c:axId val="95658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6581888"/>
        <c:crosses val="autoZero"/>
        <c:crossBetween val="midCat"/>
      </c:valAx>
      <c:valAx>
        <c:axId val="95658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6580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Segunda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'1.c'!$G$123:$G$137</c:f>
              <c:numCache>
                <c:formatCode>General</c:formatCode>
                <c:ptCount val="15"/>
                <c:pt idx="0">
                  <c:v>4.83</c:v>
                </c:pt>
                <c:pt idx="1">
                  <c:v>4.78</c:v>
                </c:pt>
                <c:pt idx="2">
                  <c:v>4.5999999999999996</c:v>
                </c:pt>
                <c:pt idx="3">
                  <c:v>5.1100000000000003</c:v>
                </c:pt>
                <c:pt idx="4">
                  <c:v>5.13</c:v>
                </c:pt>
                <c:pt idx="5">
                  <c:v>5.05</c:v>
                </c:pt>
                <c:pt idx="6">
                  <c:v>4.7699999999999996</c:v>
                </c:pt>
                <c:pt idx="7">
                  <c:v>4.8</c:v>
                </c:pt>
                <c:pt idx="8">
                  <c:v>5.0199999999999996</c:v>
                </c:pt>
                <c:pt idx="9">
                  <c:v>5.12</c:v>
                </c:pt>
                <c:pt idx="10">
                  <c:v>4.9000000000000004</c:v>
                </c:pt>
                <c:pt idx="11">
                  <c:v>5.13</c:v>
                </c:pt>
                <c:pt idx="12">
                  <c:v>4.57</c:v>
                </c:pt>
                <c:pt idx="13">
                  <c:v>5</c:v>
                </c:pt>
                <c:pt idx="14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40-4FB0-8D24-B1381B65E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7764815"/>
        <c:axId val="1287765295"/>
      </c:lineChart>
      <c:catAx>
        <c:axId val="12877648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7765295"/>
        <c:crosses val="autoZero"/>
        <c:auto val="1"/>
        <c:lblAlgn val="ctr"/>
        <c:lblOffset val="100"/>
        <c:noMultiLvlLbl val="0"/>
      </c:catAx>
      <c:valAx>
        <c:axId val="128776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7764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Quarta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FEE-4B01-A648-BBF6A7B6403F}"/>
              </c:ext>
            </c:extLst>
          </c:dPt>
          <c:val>
            <c:numRef>
              <c:f>'1.c'!$L$105:$L$120</c:f>
              <c:numCache>
                <c:formatCode>General</c:formatCode>
                <c:ptCount val="16"/>
                <c:pt idx="0">
                  <c:v>5.07</c:v>
                </c:pt>
                <c:pt idx="1">
                  <c:v>4.87</c:v>
                </c:pt>
                <c:pt idx="2">
                  <c:v>5.3</c:v>
                </c:pt>
                <c:pt idx="3">
                  <c:v>5.1100000000000003</c:v>
                </c:pt>
                <c:pt idx="4">
                  <c:v>5.09</c:v>
                </c:pt>
                <c:pt idx="5">
                  <c:v>5.55</c:v>
                </c:pt>
                <c:pt idx="6">
                  <c:v>4.82</c:v>
                </c:pt>
                <c:pt idx="7">
                  <c:v>4.7</c:v>
                </c:pt>
                <c:pt idx="8">
                  <c:v>5.18</c:v>
                </c:pt>
                <c:pt idx="9">
                  <c:v>5.16</c:v>
                </c:pt>
                <c:pt idx="10">
                  <c:v>5.22</c:v>
                </c:pt>
                <c:pt idx="11">
                  <c:v>5.36</c:v>
                </c:pt>
                <c:pt idx="12">
                  <c:v>5.3</c:v>
                </c:pt>
                <c:pt idx="13">
                  <c:v>5.51</c:v>
                </c:pt>
                <c:pt idx="14">
                  <c:v>5.15</c:v>
                </c:pt>
                <c:pt idx="15">
                  <c:v>5.18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EE-4B01-A648-BBF6A7B64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7656143"/>
        <c:axId val="1267655183"/>
      </c:lineChart>
      <c:catAx>
        <c:axId val="1267656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7655183"/>
        <c:crosses val="autoZero"/>
        <c:auto val="1"/>
        <c:lblAlgn val="ctr"/>
        <c:lblOffset val="100"/>
        <c:noMultiLvlLbl val="0"/>
      </c:catAx>
      <c:valAx>
        <c:axId val="126765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7656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Sexta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FFC-4F9A-9156-DA228BD263AF}"/>
              </c:ext>
            </c:extLst>
          </c:dPt>
          <c:val>
            <c:numRef>
              <c:f>'1.c'!$G$69:$G$103</c:f>
              <c:numCache>
                <c:formatCode>General</c:formatCode>
                <c:ptCount val="35"/>
                <c:pt idx="0">
                  <c:v>4.71</c:v>
                </c:pt>
                <c:pt idx="1">
                  <c:v>4.91</c:v>
                </c:pt>
                <c:pt idx="2">
                  <c:v>5.0599999999999996</c:v>
                </c:pt>
                <c:pt idx="3">
                  <c:v>4.72</c:v>
                </c:pt>
                <c:pt idx="4">
                  <c:v>4.76</c:v>
                </c:pt>
                <c:pt idx="5">
                  <c:v>5.12</c:v>
                </c:pt>
                <c:pt idx="6">
                  <c:v>4.6500000000000004</c:v>
                </c:pt>
                <c:pt idx="7">
                  <c:v>5.51</c:v>
                </c:pt>
                <c:pt idx="8">
                  <c:v>5.07</c:v>
                </c:pt>
                <c:pt idx="9">
                  <c:v>5.26</c:v>
                </c:pt>
                <c:pt idx="10">
                  <c:v>7.02</c:v>
                </c:pt>
                <c:pt idx="11">
                  <c:v>6.55</c:v>
                </c:pt>
                <c:pt idx="12">
                  <c:v>7.2</c:v>
                </c:pt>
                <c:pt idx="13">
                  <c:v>6.83</c:v>
                </c:pt>
                <c:pt idx="14">
                  <c:v>7.1</c:v>
                </c:pt>
                <c:pt idx="15">
                  <c:v>6.86</c:v>
                </c:pt>
                <c:pt idx="16">
                  <c:v>5.5</c:v>
                </c:pt>
                <c:pt idx="17">
                  <c:v>6.32</c:v>
                </c:pt>
                <c:pt idx="18">
                  <c:v>6.16</c:v>
                </c:pt>
                <c:pt idx="19">
                  <c:v>6.31</c:v>
                </c:pt>
                <c:pt idx="20">
                  <c:v>6.8</c:v>
                </c:pt>
                <c:pt idx="21">
                  <c:v>5.96</c:v>
                </c:pt>
                <c:pt idx="22">
                  <c:v>6.5</c:v>
                </c:pt>
                <c:pt idx="23">
                  <c:v>6.46</c:v>
                </c:pt>
                <c:pt idx="24">
                  <c:v>6.29</c:v>
                </c:pt>
                <c:pt idx="25">
                  <c:v>6.25</c:v>
                </c:pt>
                <c:pt idx="26">
                  <c:v>7.02</c:v>
                </c:pt>
                <c:pt idx="27">
                  <c:v>6.19</c:v>
                </c:pt>
                <c:pt idx="28">
                  <c:v>6.16</c:v>
                </c:pt>
                <c:pt idx="29">
                  <c:v>6.64</c:v>
                </c:pt>
                <c:pt idx="30">
                  <c:v>5.65</c:v>
                </c:pt>
                <c:pt idx="31">
                  <c:v>6.83</c:v>
                </c:pt>
                <c:pt idx="32">
                  <c:v>6.27</c:v>
                </c:pt>
                <c:pt idx="33">
                  <c:v>7.2</c:v>
                </c:pt>
                <c:pt idx="34">
                  <c:v>6.83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FC-4F9A-9156-DA228BD26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7478031"/>
        <c:axId val="1267478511"/>
      </c:lineChart>
      <c:catAx>
        <c:axId val="126747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7478511"/>
        <c:crosses val="autoZero"/>
        <c:auto val="1"/>
        <c:lblAlgn val="ctr"/>
        <c:lblOffset val="100"/>
        <c:noMultiLvlLbl val="0"/>
      </c:catAx>
      <c:valAx>
        <c:axId val="126747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747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Domingo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FC8-4909-A000-5272A17FA54F}"/>
              </c:ext>
            </c:extLst>
          </c:dPt>
          <c:val>
            <c:numRef>
              <c:f>'1.c'!$G$105:$G$121</c:f>
              <c:numCache>
                <c:formatCode>General</c:formatCode>
                <c:ptCount val="17"/>
                <c:pt idx="0">
                  <c:v>5.04</c:v>
                </c:pt>
                <c:pt idx="1">
                  <c:v>4.95</c:v>
                </c:pt>
                <c:pt idx="2">
                  <c:v>5.74</c:v>
                </c:pt>
                <c:pt idx="3">
                  <c:v>5.37</c:v>
                </c:pt>
                <c:pt idx="4">
                  <c:v>5.19</c:v>
                </c:pt>
                <c:pt idx="5">
                  <c:v>5.58</c:v>
                </c:pt>
                <c:pt idx="6">
                  <c:v>4.7</c:v>
                </c:pt>
                <c:pt idx="7">
                  <c:v>5.1100000000000003</c:v>
                </c:pt>
                <c:pt idx="8">
                  <c:v>4.82</c:v>
                </c:pt>
                <c:pt idx="9">
                  <c:v>5.25</c:v>
                </c:pt>
                <c:pt idx="10">
                  <c:v>5.63</c:v>
                </c:pt>
                <c:pt idx="11">
                  <c:v>5.15</c:v>
                </c:pt>
                <c:pt idx="12">
                  <c:v>5.04</c:v>
                </c:pt>
                <c:pt idx="13">
                  <c:v>4.92</c:v>
                </c:pt>
                <c:pt idx="14">
                  <c:v>4.87</c:v>
                </c:pt>
                <c:pt idx="15">
                  <c:v>4.91</c:v>
                </c:pt>
                <c:pt idx="16">
                  <c:v>4.95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C8-4909-A000-5272A17FA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8275823"/>
        <c:axId val="1272611087"/>
      </c:lineChart>
      <c:catAx>
        <c:axId val="9482758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2611087"/>
        <c:crosses val="autoZero"/>
        <c:auto val="1"/>
        <c:lblAlgn val="ctr"/>
        <c:lblOffset val="100"/>
        <c:noMultiLvlLbl val="0"/>
      </c:catAx>
      <c:valAx>
        <c:axId val="127261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8275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[Questionário do Yelow Belt.xlsx]Part3!Tabela dinâmica1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Part3!$H$46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Part3!$G$47:$G$59</c:f>
              <c:multiLvlStrCache>
                <c:ptCount val="8"/>
                <c:lvl>
                  <c:pt idx="1">
                    <c:v>NOITE</c:v>
                  </c:pt>
                  <c:pt idx="2">
                    <c:v>TARDE</c:v>
                  </c:pt>
                  <c:pt idx="3">
                    <c:v>NOITE</c:v>
                  </c:pt>
                  <c:pt idx="4">
                    <c:v>TARDE</c:v>
                  </c:pt>
                  <c:pt idx="5">
                    <c:v>NOITE</c:v>
                  </c:pt>
                  <c:pt idx="6">
                    <c:v>TARDE</c:v>
                  </c:pt>
                  <c:pt idx="7">
                    <c:v>NOITE</c:v>
                  </c:pt>
                </c:lvl>
                <c:lvl>
                  <c:pt idx="0">
                    <c:v>HAMBÚRGUER</c:v>
                  </c:pt>
                  <c:pt idx="1">
                    <c:v>MISTO QUENTE</c:v>
                  </c:pt>
                  <c:pt idx="3">
                    <c:v>MORTADELA</c:v>
                  </c:pt>
                  <c:pt idx="5">
                    <c:v>NATURAL</c:v>
                  </c:pt>
                  <c:pt idx="7">
                    <c:v>X-BURGUER</c:v>
                  </c:pt>
                </c:lvl>
              </c:multiLvlStrCache>
            </c:multiLvlStrRef>
          </c:cat>
          <c:val>
            <c:numRef>
              <c:f>Part3!$H$47:$H$59</c:f>
              <c:numCache>
                <c:formatCode>General</c:formatCode>
                <c:ptCount val="8"/>
                <c:pt idx="0">
                  <c:v>5</c:v>
                </c:pt>
                <c:pt idx="1">
                  <c:v>2</c:v>
                </c:pt>
                <c:pt idx="2">
                  <c:v>5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AA-4B38-B810-B9BE6083B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8821488"/>
        <c:axId val="1208828688"/>
      </c:barChart>
      <c:catAx>
        <c:axId val="120882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8828688"/>
        <c:crosses val="autoZero"/>
        <c:auto val="1"/>
        <c:lblAlgn val="ctr"/>
        <c:lblOffset val="100"/>
        <c:noMultiLvlLbl val="0"/>
      </c:catAx>
      <c:valAx>
        <c:axId val="120882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882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6BD073C7-CF19-4FB4-A3D7-98D0D6CAB15D}">
          <cx:dataId val="0"/>
          <cx:layoutPr>
            <cx:aggregation/>
          </cx:layoutPr>
          <cx:axisId val="1"/>
        </cx:series>
        <cx:series layoutId="paretoLine" ownerIdx="0" uniqueId="{221BB648-A310-4A84-9EC0-F8501F65CC46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EE1CC335-9C9D-4FD3-9335-DFECCBE73350}">
          <cx:tx>
            <cx:txData>
              <cx:f>_xlchart.v1.2</cx:f>
              <cx:v>Nota de 0 a 10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.0500000007"/>
        <cx:tickLabels/>
        <cx:spPr>
          <a:ln w="0">
            <a:solidFill>
              <a:schemeClr val="accent1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pt-BR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_xlchart.v1.7</cx:f>
      </cx:numDim>
    </cx:data>
  </cx:chartData>
  <cx:chart>
    <cx:title pos="t" align="ctr" overlay="0"/>
    <cx:plotArea>
      <cx:plotAreaRegion>
        <cx:series layoutId="clusteredColumn" uniqueId="{6BD073C7-CF19-4FB4-A3D7-98D0D6CAB15D}">
          <cx:dataId val="0"/>
          <cx:layoutPr>
            <cx:aggregation/>
          </cx:layoutPr>
          <cx:axisId val="1"/>
        </cx:series>
        <cx:series layoutId="paretoLine" ownerIdx="0" uniqueId="{221BB648-A310-4A84-9EC0-F8501F65CC46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13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12" Type="http://schemas.openxmlformats.org/officeDocument/2006/relationships/image" Target="../media/image6.png"/><Relationship Id="rId17" Type="http://schemas.openxmlformats.org/officeDocument/2006/relationships/image" Target="../media/image9.jpeg"/><Relationship Id="rId2" Type="http://schemas.openxmlformats.org/officeDocument/2006/relationships/customXml" Target="../ink/ink1.xml"/><Relationship Id="rId16" Type="http://schemas.microsoft.com/office/2014/relationships/chartEx" Target="../charts/chartEx1.xml"/><Relationship Id="rId1" Type="http://schemas.openxmlformats.org/officeDocument/2006/relationships/image" Target="../media/image1.png"/><Relationship Id="rId6" Type="http://schemas.openxmlformats.org/officeDocument/2006/relationships/customXml" Target="../ink/ink3.xml"/><Relationship Id="rId11" Type="http://schemas.openxmlformats.org/officeDocument/2006/relationships/customXml" Target="../ink/ink6.xml"/><Relationship Id="rId5" Type="http://schemas.openxmlformats.org/officeDocument/2006/relationships/image" Target="../media/image3.png"/><Relationship Id="rId15" Type="http://schemas.openxmlformats.org/officeDocument/2006/relationships/image" Target="../media/image8.jpeg"/><Relationship Id="rId10" Type="http://schemas.openxmlformats.org/officeDocument/2006/relationships/customXml" Target="../ink/ink5.xml"/><Relationship Id="rId4" Type="http://schemas.openxmlformats.org/officeDocument/2006/relationships/customXml" Target="../ink/ink2.xml"/><Relationship Id="rId9" Type="http://schemas.openxmlformats.org/officeDocument/2006/relationships/image" Target="../media/image5.png"/><Relationship Id="rId1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85</xdr:row>
      <xdr:rowOff>28575</xdr:rowOff>
    </xdr:from>
    <xdr:to>
      <xdr:col>15</xdr:col>
      <xdr:colOff>295275</xdr:colOff>
      <xdr:row>103</xdr:row>
      <xdr:rowOff>38100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4BC3D5B-4660-1C95-EE54-7485337F53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36" b="2597"/>
        <a:stretch>
          <a:fillRect/>
        </a:stretch>
      </xdr:blipFill>
      <xdr:spPr bwMode="auto">
        <a:xfrm>
          <a:off x="628650" y="17125950"/>
          <a:ext cx="7791450" cy="3438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361815</xdr:colOff>
      <xdr:row>92</xdr:row>
      <xdr:rowOff>85560</xdr:rowOff>
    </xdr:from>
    <xdr:to>
      <xdr:col>6</xdr:col>
      <xdr:colOff>362535</xdr:colOff>
      <xdr:row>100</xdr:row>
      <xdr:rowOff>181560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4" name="Tinta 3">
              <a:extLst>
                <a:ext uri="{FF2B5EF4-FFF2-40B4-BE49-F238E27FC236}">
                  <a16:creationId xmlns:a16="http://schemas.microsoft.com/office/drawing/2014/main" id="{1D432532-C6D7-860F-CAC7-8F32455E0C08}"/>
                </a:ext>
              </a:extLst>
            </xdr14:cNvPr>
            <xdr14:cNvContentPartPr/>
          </xdr14:nvContentPartPr>
          <xdr14:nvPr macro=""/>
          <xdr14:xfrm>
            <a:off x="3000240" y="18516435"/>
            <a:ext cx="720" cy="162000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1D432532-C6D7-860F-CAC7-8F32455E0C08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964240" y="18498435"/>
              <a:ext cx="72000" cy="165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209535</xdr:colOff>
      <xdr:row>89</xdr:row>
      <xdr:rowOff>28140</xdr:rowOff>
    </xdr:from>
    <xdr:to>
      <xdr:col>12</xdr:col>
      <xdr:colOff>238335</xdr:colOff>
      <xdr:row>101</xdr:row>
      <xdr:rowOff>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Tinta 5">
              <a:extLst>
                <a:ext uri="{FF2B5EF4-FFF2-40B4-BE49-F238E27FC236}">
                  <a16:creationId xmlns:a16="http://schemas.microsoft.com/office/drawing/2014/main" id="{D20575BC-7546-4F7F-7F89-6D0FE6FB9836}"/>
                </a:ext>
              </a:extLst>
            </xdr14:cNvPr>
            <xdr14:cNvContentPartPr/>
          </xdr14:nvContentPartPr>
          <xdr14:nvPr macro=""/>
          <xdr14:xfrm>
            <a:off x="6505560" y="17887515"/>
            <a:ext cx="28800" cy="225792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D20575BC-7546-4F7F-7F89-6D0FE6FB9836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487560" y="17869515"/>
              <a:ext cx="64440" cy="229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428415</xdr:colOff>
      <xdr:row>89</xdr:row>
      <xdr:rowOff>37860</xdr:rowOff>
    </xdr:from>
    <xdr:to>
      <xdr:col>6</xdr:col>
      <xdr:colOff>428775</xdr:colOff>
      <xdr:row>89</xdr:row>
      <xdr:rowOff>38220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7" name="Tinta 6">
              <a:extLst>
                <a:ext uri="{FF2B5EF4-FFF2-40B4-BE49-F238E27FC236}">
                  <a16:creationId xmlns:a16="http://schemas.microsoft.com/office/drawing/2014/main" id="{29D05E3A-3212-F20F-34CE-8D9081B59865}"/>
                </a:ext>
              </a:extLst>
            </xdr14:cNvPr>
            <xdr14:cNvContentPartPr/>
          </xdr14:nvContentPartPr>
          <xdr14:nvPr macro=""/>
          <xdr14:xfrm>
            <a:off x="3066840" y="17897235"/>
            <a:ext cx="360" cy="36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29D05E3A-3212-F20F-34CE-8D9081B5986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2520" y="17892915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428415</xdr:colOff>
      <xdr:row>89</xdr:row>
      <xdr:rowOff>37860</xdr:rowOff>
    </xdr:from>
    <xdr:to>
      <xdr:col>12</xdr:col>
      <xdr:colOff>86055</xdr:colOff>
      <xdr:row>89</xdr:row>
      <xdr:rowOff>38220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9" name="Tinta 8">
              <a:extLst>
                <a:ext uri="{FF2B5EF4-FFF2-40B4-BE49-F238E27FC236}">
                  <a16:creationId xmlns:a16="http://schemas.microsoft.com/office/drawing/2014/main" id="{88B667E7-0E4C-E070-1759-4F99B59E0BC6}"/>
                </a:ext>
              </a:extLst>
            </xdr14:cNvPr>
            <xdr14:cNvContentPartPr/>
          </xdr14:nvContentPartPr>
          <xdr14:nvPr macro=""/>
          <xdr14:xfrm>
            <a:off x="3066840" y="17897235"/>
            <a:ext cx="3315240" cy="360"/>
          </xdr14:xfrm>
        </xdr:contentPart>
      </mc:Choice>
      <mc:Fallback xmlns="">
        <xdr:pic>
          <xdr:nvPicPr>
            <xdr:cNvPr id="9" name="Tinta 8">
              <a:extLst>
                <a:ext uri="{FF2B5EF4-FFF2-40B4-BE49-F238E27FC236}">
                  <a16:creationId xmlns:a16="http://schemas.microsoft.com/office/drawing/2014/main" id="{88B667E7-0E4C-E070-1759-4F99B59E0BC6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2160" y="17892555"/>
              <a:ext cx="332388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371190</xdr:colOff>
      <xdr:row>83</xdr:row>
      <xdr:rowOff>104460</xdr:rowOff>
    </xdr:from>
    <xdr:to>
      <xdr:col>19</xdr:col>
      <xdr:colOff>75</xdr:colOff>
      <xdr:row>83</xdr:row>
      <xdr:rowOff>104820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0" name="Tinta 9">
              <a:extLst>
                <a:ext uri="{FF2B5EF4-FFF2-40B4-BE49-F238E27FC236}">
                  <a16:creationId xmlns:a16="http://schemas.microsoft.com/office/drawing/2014/main" id="{74E8EE31-4B86-2F82-330B-AD1E16DB1B53}"/>
                </a:ext>
              </a:extLst>
            </xdr14:cNvPr>
            <xdr14:cNvContentPartPr/>
          </xdr14:nvContentPartPr>
          <xdr14:nvPr macro=""/>
          <xdr14:xfrm>
            <a:off x="12734640" y="16820835"/>
            <a:ext cx="360" cy="360"/>
          </xdr14:xfrm>
        </xdr:contentPart>
      </mc:Choice>
      <mc:Fallback xmlns="">
        <xdr:pic>
          <xdr:nvPicPr>
            <xdr:cNvPr id="10" name="Tinta 9">
              <a:extLst>
                <a:ext uri="{FF2B5EF4-FFF2-40B4-BE49-F238E27FC236}">
                  <a16:creationId xmlns:a16="http://schemas.microsoft.com/office/drawing/2014/main" id="{74E8EE31-4B86-2F82-330B-AD1E16DB1B5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2730320" y="16816515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85395</xdr:colOff>
      <xdr:row>82</xdr:row>
      <xdr:rowOff>18840</xdr:rowOff>
    </xdr:from>
    <xdr:to>
      <xdr:col>20</xdr:col>
      <xdr:colOff>85755</xdr:colOff>
      <xdr:row>82</xdr:row>
      <xdr:rowOff>38280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3" name="Tinta 12">
              <a:extLst>
                <a:ext uri="{FF2B5EF4-FFF2-40B4-BE49-F238E27FC236}">
                  <a16:creationId xmlns:a16="http://schemas.microsoft.com/office/drawing/2014/main" id="{EE60BA3E-326A-5764-A7AD-A635D8BC543A}"/>
                </a:ext>
              </a:extLst>
            </xdr14:cNvPr>
            <xdr14:cNvContentPartPr/>
          </xdr14:nvContentPartPr>
          <xdr14:nvPr macro=""/>
          <xdr14:xfrm>
            <a:off x="13048920" y="16544715"/>
            <a:ext cx="360" cy="19440"/>
          </xdr14:xfrm>
        </xdr:contentPart>
      </mc:Choice>
      <mc:Fallback xmlns="">
        <xdr:pic>
          <xdr:nvPicPr>
            <xdr:cNvPr id="13" name="Tinta 12">
              <a:extLst>
                <a:ext uri="{FF2B5EF4-FFF2-40B4-BE49-F238E27FC236}">
                  <a16:creationId xmlns:a16="http://schemas.microsoft.com/office/drawing/2014/main" id="{EE60BA3E-326A-5764-A7AD-A635D8BC543A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3044600" y="16540395"/>
              <a:ext cx="9000" cy="2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9525</xdr:colOff>
      <xdr:row>146</xdr:row>
      <xdr:rowOff>28575</xdr:rowOff>
    </xdr:from>
    <xdr:to>
      <xdr:col>12</xdr:col>
      <xdr:colOff>590550</xdr:colOff>
      <xdr:row>160</xdr:row>
      <xdr:rowOff>19050</xdr:rowOff>
    </xdr:to>
    <xdr:pic>
      <xdr:nvPicPr>
        <xdr:cNvPr id="14" name="Imagem 13" descr="Imagem sem legenda">
          <a:extLst>
            <a:ext uri="{FF2B5EF4-FFF2-40B4-BE49-F238E27FC236}">
              <a16:creationId xmlns:a16="http://schemas.microsoft.com/office/drawing/2014/main" id="{4322445E-7559-2C60-6501-8332C2CD0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8746450"/>
          <a:ext cx="6400800" cy="2657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95250</xdr:colOff>
      <xdr:row>147</xdr:row>
      <xdr:rowOff>171450</xdr:rowOff>
    </xdr:from>
    <xdr:to>
      <xdr:col>30</xdr:col>
      <xdr:colOff>457200</xdr:colOff>
      <xdr:row>165</xdr:row>
      <xdr:rowOff>128588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DBF0B12-FCAB-4E82-82E7-B537A7333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2</xdr:col>
      <xdr:colOff>0</xdr:colOff>
      <xdr:row>171</xdr:row>
      <xdr:rowOff>0</xdr:rowOff>
    </xdr:from>
    <xdr:to>
      <xdr:col>13</xdr:col>
      <xdr:colOff>428625</xdr:colOff>
      <xdr:row>235</xdr:row>
      <xdr:rowOff>0</xdr:rowOff>
    </xdr:to>
    <xdr:pic>
      <xdr:nvPicPr>
        <xdr:cNvPr id="5" name="Imagem 4" descr="Imagem sem legenda">
          <a:extLst>
            <a:ext uri="{FF2B5EF4-FFF2-40B4-BE49-F238E27FC236}">
              <a16:creationId xmlns:a16="http://schemas.microsoft.com/office/drawing/2014/main" id="{D61140D9-65C7-F42D-0ECC-A572A1F75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33480375"/>
          <a:ext cx="6858000" cy="1219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104776</xdr:colOff>
      <xdr:row>261</xdr:row>
      <xdr:rowOff>95250</xdr:rowOff>
    </xdr:from>
    <xdr:to>
      <xdr:col>27</xdr:col>
      <xdr:colOff>561976</xdr:colOff>
      <xdr:row>272</xdr:row>
      <xdr:rowOff>123826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24E0D94B-FD5B-48F2-B769-CE0AC83C4F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68226" y="50720625"/>
              <a:ext cx="5391150" cy="21240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180975</xdr:colOff>
      <xdr:row>285</xdr:row>
      <xdr:rowOff>47624</xdr:rowOff>
    </xdr:from>
    <xdr:to>
      <xdr:col>13</xdr:col>
      <xdr:colOff>342900</xdr:colOff>
      <xdr:row>339</xdr:row>
      <xdr:rowOff>95249</xdr:rowOff>
    </xdr:to>
    <xdr:pic>
      <xdr:nvPicPr>
        <xdr:cNvPr id="11" name="Imagem 10" descr="Imagem sem legenda">
          <a:extLst>
            <a:ext uri="{FF2B5EF4-FFF2-40B4-BE49-F238E27FC236}">
              <a16:creationId xmlns:a16="http://schemas.microsoft.com/office/drawing/2014/main" id="{1C72C712-F25C-115C-2D12-29C1C03A0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55244999"/>
          <a:ext cx="6858000" cy="1033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447674</xdr:colOff>
      <xdr:row>0</xdr:row>
      <xdr:rowOff>557211</xdr:rowOff>
    </xdr:from>
    <xdr:to>
      <xdr:col>24</xdr:col>
      <xdr:colOff>361949</xdr:colOff>
      <xdr:row>15</xdr:row>
      <xdr:rowOff>28574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C4C24FF-5CC0-748F-0CB3-A534017B7B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438149</xdr:colOff>
      <xdr:row>17</xdr:row>
      <xdr:rowOff>147637</xdr:rowOff>
    </xdr:from>
    <xdr:to>
      <xdr:col>24</xdr:col>
      <xdr:colOff>314324</xdr:colOff>
      <xdr:row>31</xdr:row>
      <xdr:rowOff>161925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E92C81E-C093-9C0E-7130-15D81A75C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233362</xdr:colOff>
      <xdr:row>121</xdr:row>
      <xdr:rowOff>33337</xdr:rowOff>
    </xdr:from>
    <xdr:to>
      <xdr:col>23</xdr:col>
      <xdr:colOff>419100</xdr:colOff>
      <xdr:row>134</xdr:row>
      <xdr:rowOff>176212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CD89CFC-F225-D4DA-9D51-C212245FCE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33337</xdr:colOff>
      <xdr:row>105</xdr:row>
      <xdr:rowOff>128587</xdr:rowOff>
    </xdr:from>
    <xdr:to>
      <xdr:col>22</xdr:col>
      <xdr:colOff>338137</xdr:colOff>
      <xdr:row>119</xdr:row>
      <xdr:rowOff>71437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13B7051-95E2-2A4F-B5EC-6D9A55BD9C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47625</xdr:colOff>
      <xdr:row>64</xdr:row>
      <xdr:rowOff>42862</xdr:rowOff>
    </xdr:from>
    <xdr:to>
      <xdr:col>18</xdr:col>
      <xdr:colOff>266700</xdr:colOff>
      <xdr:row>77</xdr:row>
      <xdr:rowOff>185737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00C64C7-DFFE-2DB6-7C6A-39183EF9B7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71437</xdr:colOff>
      <xdr:row>89</xdr:row>
      <xdr:rowOff>100012</xdr:rowOff>
    </xdr:from>
    <xdr:to>
      <xdr:col>16</xdr:col>
      <xdr:colOff>185737</xdr:colOff>
      <xdr:row>103</xdr:row>
      <xdr:rowOff>42862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6BB308FF-4EC0-A6BC-FA32-6BB1E6A85D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409574</xdr:colOff>
      <xdr:row>42</xdr:row>
      <xdr:rowOff>119061</xdr:rowOff>
    </xdr:from>
    <xdr:to>
      <xdr:col>21</xdr:col>
      <xdr:colOff>161924</xdr:colOff>
      <xdr:row>64</xdr:row>
      <xdr:rowOff>28574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5DD2EE6-DCEA-A305-166F-A94948F1F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304799</xdr:colOff>
      <xdr:row>29</xdr:row>
      <xdr:rowOff>90487</xdr:rowOff>
    </xdr:from>
    <xdr:to>
      <xdr:col>19</xdr:col>
      <xdr:colOff>571020</xdr:colOff>
      <xdr:row>43</xdr:row>
      <xdr:rowOff>26137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A31A12D2-6FEB-EE39-01A9-A5B1D5ABBB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00574" y="8805862"/>
              <a:ext cx="8667271" cy="273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144021</xdr:colOff>
      <xdr:row>10</xdr:row>
      <xdr:rowOff>105921</xdr:rowOff>
    </xdr:from>
    <xdr:to>
      <xdr:col>8</xdr:col>
      <xdr:colOff>459036</xdr:colOff>
      <xdr:row>25</xdr:row>
      <xdr:rowOff>8835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C5E2B252-45CA-9382-3EC4-1A5A2663CD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021" y="1999445"/>
              <a:ext cx="7453027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1T17:05:30.754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0 25751,'0'4499'0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1T17:05:39.74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0 21452,'79'6271'0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1T17:05:49.674"/>
    </inkml:context>
    <inkml:brush xml:id="br0">
      <inkml:brushProperty name="width" value="0.025" units="cm"/>
      <inkml:brushProperty name="height" value="0.025" units="cm"/>
      <inkml:brushProperty name="color" value="#008C3A"/>
    </inkml:brush>
  </inkml:definitions>
  <inkml:trace contextRef="#ctx0" brushRef="#br0">1 1 9830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1T17:05:52.359"/>
    </inkml:context>
    <inkml:brush xml:id="br0">
      <inkml:brushProperty name="width" value="0.025" units="cm"/>
      <inkml:brushProperty name="height" value="0.025" units="cm"/>
      <inkml:brushProperty name="color" value="#008C3A"/>
    </inkml:brush>
  </inkml:definitions>
  <inkml:trace contextRef="#ctx0" brushRef="#br0">0 0 23776,'9208'0'0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1T17:05:58.173"/>
    </inkml:context>
    <inkml:brush xml:id="br0">
      <inkml:brushProperty name="width" value="0.025" units="cm"/>
      <inkml:brushProperty name="height" value="0.025" units="cm"/>
      <inkml:brushProperty name="color" value="#008C3A"/>
    </inkml:brush>
  </inkml:definitions>
  <inkml:trace contextRef="#ctx0" brushRef="#br0">1 1 9830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1T17:06:00.979"/>
    </inkml:context>
    <inkml:brush xml:id="br0">
      <inkml:brushProperty name="width" value="0.025" units="cm"/>
      <inkml:brushProperty name="height" value="0.025" units="cm"/>
      <inkml:brushProperty name="color" value="#008C3A"/>
    </inkml:brush>
  </inkml:definitions>
  <inkml:trace contextRef="#ctx0" brushRef="#br0">1 1 9830,'0'4'765,"0"7"-1,0 1-764</inkml:trace>
  <inkml:trace contextRef="#ctx0" brushRef="#br0" timeOffset="186.89">1 54 9830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yel Souza" refreshedDate="45963.753150231481" createdVersion="8" refreshedVersion="8" minRefreshableVersion="3" recordCount="100" xr:uid="{85ABE79A-5087-42F8-B0F8-5E4628CC9DB6}">
  <cacheSource type="worksheet">
    <worksheetSource ref="B8:E108" sheet="Part3"/>
  </cacheSource>
  <cacheFields count="4">
    <cacheField name="Número do Pedido" numFmtId="0">
      <sharedItems containsSemiMixedTypes="0" containsString="0" containsNumber="1" containsInteger="1" minValue="1" maxValue="100"/>
    </cacheField>
    <cacheField name="Lanche" numFmtId="0">
      <sharedItems count="5">
        <s v="MISTO QUENTE"/>
        <s v="NATURAL"/>
        <s v="MORTADELA"/>
        <s v="HAMBÚRGUER"/>
        <s v="X-BURGUER"/>
      </sharedItems>
    </cacheField>
    <cacheField name="Turno" numFmtId="0">
      <sharedItems count="2">
        <s v="TARDE"/>
        <s v="NOITE"/>
      </sharedItems>
    </cacheField>
    <cacheField name="Dia" numFmtId="0">
      <sharedItems containsSemiMixedTypes="0" containsString="0" containsNumber="1" containsInteger="1" minValue="1" maxValue="4" count="4">
        <n v="1"/>
        <n v="2"/>
        <n v="3"/>
        <n v="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yel Souza" refreshedDate="45963.819408680552" createdVersion="8" refreshedVersion="8" minRefreshableVersion="3" recordCount="100" xr:uid="{920530B9-2488-4394-8033-4F73E9F0915F}">
  <cacheSource type="worksheet">
    <worksheetSource ref="C8:C108" sheet="PARTE 4"/>
  </cacheSource>
  <cacheFields count="1">
    <cacheField name="Aspecto Favorito" numFmtId="0">
      <sharedItems count="6">
        <s v="ATENDIMENTO"/>
        <s v="TEMPERATURA"/>
        <s v="SABOR"/>
        <s v="VELOCIDADE"/>
        <s v="OUTROS"/>
        <s v="DECORAÇÃ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x v="0"/>
    <x v="0"/>
    <x v="0"/>
  </r>
  <r>
    <n v="2"/>
    <x v="0"/>
    <x v="0"/>
    <x v="0"/>
  </r>
  <r>
    <n v="3"/>
    <x v="1"/>
    <x v="0"/>
    <x v="0"/>
  </r>
  <r>
    <n v="4"/>
    <x v="2"/>
    <x v="0"/>
    <x v="0"/>
  </r>
  <r>
    <n v="5"/>
    <x v="0"/>
    <x v="0"/>
    <x v="0"/>
  </r>
  <r>
    <n v="6"/>
    <x v="2"/>
    <x v="0"/>
    <x v="0"/>
  </r>
  <r>
    <n v="7"/>
    <x v="1"/>
    <x v="0"/>
    <x v="0"/>
  </r>
  <r>
    <n v="8"/>
    <x v="0"/>
    <x v="0"/>
    <x v="0"/>
  </r>
  <r>
    <n v="9"/>
    <x v="0"/>
    <x v="0"/>
    <x v="0"/>
  </r>
  <r>
    <n v="10"/>
    <x v="3"/>
    <x v="0"/>
    <x v="0"/>
  </r>
  <r>
    <n v="11"/>
    <x v="4"/>
    <x v="1"/>
    <x v="0"/>
  </r>
  <r>
    <n v="12"/>
    <x v="1"/>
    <x v="1"/>
    <x v="0"/>
  </r>
  <r>
    <n v="13"/>
    <x v="3"/>
    <x v="1"/>
    <x v="0"/>
  </r>
  <r>
    <n v="14"/>
    <x v="0"/>
    <x v="1"/>
    <x v="0"/>
  </r>
  <r>
    <n v="15"/>
    <x v="2"/>
    <x v="1"/>
    <x v="0"/>
  </r>
  <r>
    <n v="16"/>
    <x v="4"/>
    <x v="1"/>
    <x v="0"/>
  </r>
  <r>
    <n v="17"/>
    <x v="3"/>
    <x v="1"/>
    <x v="0"/>
  </r>
  <r>
    <n v="18"/>
    <x v="4"/>
    <x v="1"/>
    <x v="0"/>
  </r>
  <r>
    <n v="19"/>
    <x v="4"/>
    <x v="1"/>
    <x v="0"/>
  </r>
  <r>
    <n v="20"/>
    <x v="3"/>
    <x v="1"/>
    <x v="0"/>
  </r>
  <r>
    <n v="21"/>
    <x v="0"/>
    <x v="1"/>
    <x v="0"/>
  </r>
  <r>
    <n v="22"/>
    <x v="2"/>
    <x v="1"/>
    <x v="0"/>
  </r>
  <r>
    <n v="23"/>
    <x v="4"/>
    <x v="1"/>
    <x v="0"/>
  </r>
  <r>
    <n v="24"/>
    <x v="3"/>
    <x v="1"/>
    <x v="0"/>
  </r>
  <r>
    <n v="25"/>
    <x v="4"/>
    <x v="1"/>
    <x v="0"/>
  </r>
  <r>
    <n v="26"/>
    <x v="0"/>
    <x v="0"/>
    <x v="1"/>
  </r>
  <r>
    <n v="27"/>
    <x v="4"/>
    <x v="0"/>
    <x v="1"/>
  </r>
  <r>
    <n v="28"/>
    <x v="0"/>
    <x v="0"/>
    <x v="1"/>
  </r>
  <r>
    <n v="29"/>
    <x v="1"/>
    <x v="0"/>
    <x v="1"/>
  </r>
  <r>
    <n v="30"/>
    <x v="0"/>
    <x v="0"/>
    <x v="1"/>
  </r>
  <r>
    <n v="31"/>
    <x v="0"/>
    <x v="0"/>
    <x v="1"/>
  </r>
  <r>
    <n v="32"/>
    <x v="2"/>
    <x v="0"/>
    <x v="1"/>
  </r>
  <r>
    <n v="33"/>
    <x v="0"/>
    <x v="0"/>
    <x v="1"/>
  </r>
  <r>
    <n v="34"/>
    <x v="1"/>
    <x v="0"/>
    <x v="1"/>
  </r>
  <r>
    <n v="35"/>
    <x v="4"/>
    <x v="0"/>
    <x v="1"/>
  </r>
  <r>
    <n v="36"/>
    <x v="0"/>
    <x v="0"/>
    <x v="1"/>
  </r>
  <r>
    <n v="37"/>
    <x v="2"/>
    <x v="0"/>
    <x v="1"/>
  </r>
  <r>
    <n v="38"/>
    <x v="4"/>
    <x v="1"/>
    <x v="1"/>
  </r>
  <r>
    <n v="39"/>
    <x v="4"/>
    <x v="1"/>
    <x v="1"/>
  </r>
  <r>
    <n v="40"/>
    <x v="3"/>
    <x v="1"/>
    <x v="1"/>
  </r>
  <r>
    <n v="41"/>
    <x v="0"/>
    <x v="1"/>
    <x v="1"/>
  </r>
  <r>
    <n v="42"/>
    <x v="3"/>
    <x v="1"/>
    <x v="1"/>
  </r>
  <r>
    <n v="43"/>
    <x v="4"/>
    <x v="1"/>
    <x v="1"/>
  </r>
  <r>
    <n v="44"/>
    <x v="3"/>
    <x v="1"/>
    <x v="1"/>
  </r>
  <r>
    <n v="45"/>
    <x v="3"/>
    <x v="1"/>
    <x v="1"/>
  </r>
  <r>
    <n v="46"/>
    <x v="0"/>
    <x v="1"/>
    <x v="1"/>
  </r>
  <r>
    <n v="47"/>
    <x v="3"/>
    <x v="1"/>
    <x v="1"/>
  </r>
  <r>
    <n v="48"/>
    <x v="4"/>
    <x v="1"/>
    <x v="1"/>
  </r>
  <r>
    <n v="49"/>
    <x v="2"/>
    <x v="0"/>
    <x v="2"/>
  </r>
  <r>
    <n v="50"/>
    <x v="2"/>
    <x v="0"/>
    <x v="2"/>
  </r>
  <r>
    <n v="51"/>
    <x v="0"/>
    <x v="0"/>
    <x v="2"/>
  </r>
  <r>
    <n v="52"/>
    <x v="3"/>
    <x v="0"/>
    <x v="2"/>
  </r>
  <r>
    <n v="53"/>
    <x v="0"/>
    <x v="0"/>
    <x v="2"/>
  </r>
  <r>
    <n v="54"/>
    <x v="0"/>
    <x v="0"/>
    <x v="2"/>
  </r>
  <r>
    <n v="55"/>
    <x v="2"/>
    <x v="0"/>
    <x v="2"/>
  </r>
  <r>
    <n v="56"/>
    <x v="1"/>
    <x v="0"/>
    <x v="2"/>
  </r>
  <r>
    <n v="57"/>
    <x v="4"/>
    <x v="0"/>
    <x v="2"/>
  </r>
  <r>
    <n v="58"/>
    <x v="0"/>
    <x v="0"/>
    <x v="2"/>
  </r>
  <r>
    <n v="59"/>
    <x v="4"/>
    <x v="1"/>
    <x v="2"/>
  </r>
  <r>
    <n v="60"/>
    <x v="0"/>
    <x v="1"/>
    <x v="2"/>
  </r>
  <r>
    <n v="61"/>
    <x v="3"/>
    <x v="1"/>
    <x v="2"/>
  </r>
  <r>
    <n v="62"/>
    <x v="3"/>
    <x v="1"/>
    <x v="2"/>
  </r>
  <r>
    <n v="63"/>
    <x v="4"/>
    <x v="1"/>
    <x v="2"/>
  </r>
  <r>
    <n v="64"/>
    <x v="3"/>
    <x v="1"/>
    <x v="2"/>
  </r>
  <r>
    <n v="65"/>
    <x v="0"/>
    <x v="1"/>
    <x v="2"/>
  </r>
  <r>
    <n v="66"/>
    <x v="4"/>
    <x v="1"/>
    <x v="2"/>
  </r>
  <r>
    <n v="67"/>
    <x v="4"/>
    <x v="1"/>
    <x v="2"/>
  </r>
  <r>
    <n v="68"/>
    <x v="3"/>
    <x v="1"/>
    <x v="2"/>
  </r>
  <r>
    <n v="69"/>
    <x v="3"/>
    <x v="1"/>
    <x v="2"/>
  </r>
  <r>
    <n v="70"/>
    <x v="2"/>
    <x v="1"/>
    <x v="2"/>
  </r>
  <r>
    <n v="71"/>
    <x v="4"/>
    <x v="1"/>
    <x v="2"/>
  </r>
  <r>
    <n v="72"/>
    <x v="4"/>
    <x v="1"/>
    <x v="2"/>
  </r>
  <r>
    <n v="73"/>
    <x v="4"/>
    <x v="1"/>
    <x v="2"/>
  </r>
  <r>
    <n v="74"/>
    <x v="2"/>
    <x v="1"/>
    <x v="2"/>
  </r>
  <r>
    <n v="75"/>
    <x v="1"/>
    <x v="1"/>
    <x v="2"/>
  </r>
  <r>
    <n v="76"/>
    <x v="3"/>
    <x v="1"/>
    <x v="2"/>
  </r>
  <r>
    <n v="77"/>
    <x v="4"/>
    <x v="1"/>
    <x v="2"/>
  </r>
  <r>
    <n v="78"/>
    <x v="2"/>
    <x v="0"/>
    <x v="3"/>
  </r>
  <r>
    <n v="79"/>
    <x v="0"/>
    <x v="0"/>
    <x v="3"/>
  </r>
  <r>
    <n v="80"/>
    <x v="0"/>
    <x v="0"/>
    <x v="3"/>
  </r>
  <r>
    <n v="81"/>
    <x v="2"/>
    <x v="0"/>
    <x v="3"/>
  </r>
  <r>
    <n v="82"/>
    <x v="0"/>
    <x v="0"/>
    <x v="3"/>
  </r>
  <r>
    <n v="83"/>
    <x v="2"/>
    <x v="0"/>
    <x v="3"/>
  </r>
  <r>
    <n v="84"/>
    <x v="1"/>
    <x v="0"/>
    <x v="3"/>
  </r>
  <r>
    <n v="85"/>
    <x v="1"/>
    <x v="0"/>
    <x v="3"/>
  </r>
  <r>
    <n v="86"/>
    <x v="0"/>
    <x v="0"/>
    <x v="3"/>
  </r>
  <r>
    <n v="87"/>
    <x v="0"/>
    <x v="0"/>
    <x v="3"/>
  </r>
  <r>
    <n v="88"/>
    <x v="0"/>
    <x v="0"/>
    <x v="3"/>
  </r>
  <r>
    <n v="89"/>
    <x v="0"/>
    <x v="0"/>
    <x v="3"/>
  </r>
  <r>
    <n v="90"/>
    <x v="2"/>
    <x v="0"/>
    <x v="3"/>
  </r>
  <r>
    <n v="91"/>
    <x v="3"/>
    <x v="0"/>
    <x v="3"/>
  </r>
  <r>
    <n v="92"/>
    <x v="0"/>
    <x v="1"/>
    <x v="3"/>
  </r>
  <r>
    <n v="93"/>
    <x v="4"/>
    <x v="1"/>
    <x v="3"/>
  </r>
  <r>
    <n v="94"/>
    <x v="3"/>
    <x v="1"/>
    <x v="3"/>
  </r>
  <r>
    <n v="95"/>
    <x v="4"/>
    <x v="1"/>
    <x v="3"/>
  </r>
  <r>
    <n v="96"/>
    <x v="0"/>
    <x v="1"/>
    <x v="3"/>
  </r>
  <r>
    <n v="97"/>
    <x v="2"/>
    <x v="1"/>
    <x v="3"/>
  </r>
  <r>
    <n v="98"/>
    <x v="4"/>
    <x v="1"/>
    <x v="3"/>
  </r>
  <r>
    <n v="99"/>
    <x v="4"/>
    <x v="1"/>
    <x v="3"/>
  </r>
  <r>
    <n v="100"/>
    <x v="3"/>
    <x v="1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</r>
  <r>
    <x v="1"/>
  </r>
  <r>
    <x v="2"/>
  </r>
  <r>
    <x v="3"/>
  </r>
  <r>
    <x v="2"/>
  </r>
  <r>
    <x v="0"/>
  </r>
  <r>
    <x v="0"/>
  </r>
  <r>
    <x v="4"/>
  </r>
  <r>
    <x v="2"/>
  </r>
  <r>
    <x v="1"/>
  </r>
  <r>
    <x v="5"/>
  </r>
  <r>
    <x v="3"/>
  </r>
  <r>
    <x v="0"/>
  </r>
  <r>
    <x v="0"/>
  </r>
  <r>
    <x v="1"/>
  </r>
  <r>
    <x v="1"/>
  </r>
  <r>
    <x v="4"/>
  </r>
  <r>
    <x v="4"/>
  </r>
  <r>
    <x v="2"/>
  </r>
  <r>
    <x v="0"/>
  </r>
  <r>
    <x v="2"/>
  </r>
  <r>
    <x v="3"/>
  </r>
  <r>
    <x v="3"/>
  </r>
  <r>
    <x v="2"/>
  </r>
  <r>
    <x v="2"/>
  </r>
  <r>
    <x v="3"/>
  </r>
  <r>
    <x v="1"/>
  </r>
  <r>
    <x v="2"/>
  </r>
  <r>
    <x v="0"/>
  </r>
  <r>
    <x v="2"/>
  </r>
  <r>
    <x v="2"/>
  </r>
  <r>
    <x v="2"/>
  </r>
  <r>
    <x v="0"/>
  </r>
  <r>
    <x v="5"/>
  </r>
  <r>
    <x v="5"/>
  </r>
  <r>
    <x v="0"/>
  </r>
  <r>
    <x v="0"/>
  </r>
  <r>
    <x v="0"/>
  </r>
  <r>
    <x v="3"/>
  </r>
  <r>
    <x v="3"/>
  </r>
  <r>
    <x v="1"/>
  </r>
  <r>
    <x v="2"/>
  </r>
  <r>
    <x v="4"/>
  </r>
  <r>
    <x v="2"/>
  </r>
  <r>
    <x v="0"/>
  </r>
  <r>
    <x v="3"/>
  </r>
  <r>
    <x v="4"/>
  </r>
  <r>
    <x v="2"/>
  </r>
  <r>
    <x v="3"/>
  </r>
  <r>
    <x v="2"/>
  </r>
  <r>
    <x v="2"/>
  </r>
  <r>
    <x v="3"/>
  </r>
  <r>
    <x v="3"/>
  </r>
  <r>
    <x v="0"/>
  </r>
  <r>
    <x v="0"/>
  </r>
  <r>
    <x v="4"/>
  </r>
  <r>
    <x v="4"/>
  </r>
  <r>
    <x v="2"/>
  </r>
  <r>
    <x v="3"/>
  </r>
  <r>
    <x v="0"/>
  </r>
  <r>
    <x v="2"/>
  </r>
  <r>
    <x v="2"/>
  </r>
  <r>
    <x v="1"/>
  </r>
  <r>
    <x v="1"/>
  </r>
  <r>
    <x v="2"/>
  </r>
  <r>
    <x v="2"/>
  </r>
  <r>
    <x v="1"/>
  </r>
  <r>
    <x v="1"/>
  </r>
  <r>
    <x v="1"/>
  </r>
  <r>
    <x v="3"/>
  </r>
  <r>
    <x v="0"/>
  </r>
  <r>
    <x v="2"/>
  </r>
  <r>
    <x v="4"/>
  </r>
  <r>
    <x v="2"/>
  </r>
  <r>
    <x v="4"/>
  </r>
  <r>
    <x v="5"/>
  </r>
  <r>
    <x v="2"/>
  </r>
  <r>
    <x v="3"/>
  </r>
  <r>
    <x v="3"/>
  </r>
  <r>
    <x v="0"/>
  </r>
  <r>
    <x v="0"/>
  </r>
  <r>
    <x v="2"/>
  </r>
  <r>
    <x v="3"/>
  </r>
  <r>
    <x v="3"/>
  </r>
  <r>
    <x v="3"/>
  </r>
  <r>
    <x v="2"/>
  </r>
  <r>
    <x v="2"/>
  </r>
  <r>
    <x v="0"/>
  </r>
  <r>
    <x v="0"/>
  </r>
  <r>
    <x v="4"/>
  </r>
  <r>
    <x v="1"/>
  </r>
  <r>
    <x v="5"/>
  </r>
  <r>
    <x v="2"/>
  </r>
  <r>
    <x v="3"/>
  </r>
  <r>
    <x v="2"/>
  </r>
  <r>
    <x v="1"/>
  </r>
  <r>
    <x v="2"/>
  </r>
  <r>
    <x v="0"/>
  </r>
  <r>
    <x v="4"/>
  </r>
  <r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69DAF5-77CD-40C5-AF06-6110A43F612B}" name="Tabela dinâmica5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88:H94" firstHeaderRow="1" firstDataRow="1" firstDataCol="1"/>
  <pivotFields count="4">
    <pivotField showAll="0"/>
    <pivotField axis="axisRow" dataField="1" showAll="0">
      <items count="6">
        <item h="1" x="3"/>
        <item h="1" x="0"/>
        <item x="2"/>
        <item h="1" x="1"/>
        <item h="1" x="4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2">
    <field x="1"/>
    <field x="3"/>
  </rowFields>
  <rowItems count="6"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Contagem de Lanch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2F25C9-A293-4EFB-8E9A-EE6B1164F98B}" name="Tabela dinâmica4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73:H86" firstHeaderRow="1" firstDataRow="1" firstDataCol="1"/>
  <pivotFields count="4">
    <pivotField showAll="0"/>
    <pivotField axis="axisRow" dataField="1" showAll="0">
      <items count="6">
        <item x="3"/>
        <item x="0"/>
        <item x="2"/>
        <item x="1"/>
        <item x="4"/>
        <item t="default"/>
      </items>
    </pivotField>
    <pivotField axis="axisRow" showAll="0">
      <items count="3">
        <item x="1"/>
        <item x="0"/>
        <item t="default"/>
      </items>
    </pivotField>
    <pivotField showAll="0"/>
  </pivotFields>
  <rowFields count="2">
    <field x="2"/>
    <field x="1"/>
  </rowFields>
  <rowItems count="1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Contagem de Lanche" fld="1" subtotal="count" baseField="0" baseItem="0"/>
  </dataFields>
  <formats count="2">
    <format dxfId="5">
      <pivotArea collapsedLevelsAreSubtotals="1" fieldPosition="0">
        <references count="2">
          <reference field="1" count="1">
            <x v="4"/>
          </reference>
          <reference field="2" count="1" selected="0">
            <x v="0"/>
          </reference>
        </references>
      </pivotArea>
    </format>
    <format dxfId="4">
      <pivotArea dataOnly="0" labelOnly="1" fieldPosition="0">
        <references count="2">
          <reference field="1" count="1">
            <x v="4"/>
          </reference>
          <reference field="2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342C69-4146-4605-93C6-408CA367F985}" name="Tabela dinâmica3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68:H71" firstHeaderRow="1" firstDataRow="1" firstDataCol="1"/>
  <pivotFields count="4">
    <pivotField showAll="0"/>
    <pivotField dataField="1" showAll="0">
      <items count="6">
        <item x="3"/>
        <item x="0"/>
        <item x="2"/>
        <item x="1"/>
        <item x="4"/>
        <item t="default"/>
      </items>
    </pivotField>
    <pivotField axis="axisRow" showAll="0">
      <items count="3">
        <item x="1"/>
        <item x="0"/>
        <item t="default"/>
      </items>
    </pivotField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ntagem de Lanch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3E7826-9BC2-4649-BA19-E87F805A4CE8}" name="Tabela dinâmica1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G46:H59" firstHeaderRow="1" firstDataRow="1" firstDataCol="1" rowPageCount="1" colPageCount="1"/>
  <pivotFields count="4">
    <pivotField showAll="0"/>
    <pivotField axis="axisRow" dataField="1" showAll="0">
      <items count="6">
        <item sd="0" x="3"/>
        <item x="0"/>
        <item x="2"/>
        <item x="1"/>
        <item x="4"/>
        <item t="default"/>
      </items>
    </pivotField>
    <pivotField axis="axisRow" showAll="0">
      <items count="3">
        <item x="1"/>
        <item x="0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</pivotFields>
  <rowFields count="2">
    <field x="1"/>
    <field x="2"/>
  </rowFields>
  <rowItems count="13">
    <i>
      <x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t="grand">
      <x/>
    </i>
  </rowItems>
  <colItems count="1">
    <i/>
  </colItems>
  <pageFields count="1">
    <pageField fld="3" item="0" hier="-1"/>
  </pageFields>
  <dataFields count="1">
    <dataField name="Contagem de Lanche2" fld="1" subtotal="count" baseField="0" baseItem="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F343A4-9C08-4DE2-B299-A3F136A4C0B1}" name="Tabela dinâmica1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9" firstHeaderRow="1" firstDataRow="1" firstDataCol="1"/>
  <pivotFields count="4">
    <pivotField showAll="0"/>
    <pivotField axis="axisRow" dataField="1" showAll="0">
      <items count="6">
        <item x="3"/>
        <item x="0"/>
        <item x="2"/>
        <item x="1"/>
        <item x="4"/>
        <item t="default"/>
      </items>
    </pivotField>
    <pivotField axis="axisRow" showAll="0">
      <items count="3">
        <item x="1"/>
        <item x="0"/>
        <item t="default"/>
      </items>
    </pivotField>
    <pivotField showAll="0"/>
  </pivotFields>
  <rowFields count="2">
    <field x="1"/>
    <field x="2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Items count="1">
    <i/>
  </colItems>
  <dataFields count="1">
    <dataField name="Contagem de Lanche" fld="1" subtotal="count" baseField="0" baseItem="0"/>
  </dataFields>
  <formats count="1">
    <format dxfId="6">
      <pivotArea collapsedLevelsAreSubtotals="1" fieldPosition="0">
        <references count="1">
          <reference field="1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3305B4-DEC0-4444-AC69-13AE850EEE0C}" name="Tabela dinâmica6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:C10" firstHeaderRow="1" firstDataRow="1" firstDataCol="1"/>
  <pivotFields count="1">
    <pivotField axis="axisRow" dataField="1" showAll="0">
      <items count="7">
        <item x="0"/>
        <item x="5"/>
        <item x="4"/>
        <item x="2"/>
        <item x="1"/>
        <item x="3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ntagem de Aspecto Favorit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NCwpiU3uGWqX32GHAWCCinqmrin0A57UEBUwuMLRFYo/edit?usp=sharing" TargetMode="External"/><Relationship Id="rId13" Type="http://schemas.openxmlformats.org/officeDocument/2006/relationships/hyperlink" Target="https://youtu.be/VClEDeB2RNk" TargetMode="External"/><Relationship Id="rId18" Type="http://schemas.openxmlformats.org/officeDocument/2006/relationships/hyperlink" Target="https://youtu.be/Wn23Pl7nF48" TargetMode="External"/><Relationship Id="rId26" Type="http://schemas.openxmlformats.org/officeDocument/2006/relationships/hyperlink" Target="https://youtu.be/B_gH74KJrNc" TargetMode="External"/><Relationship Id="rId3" Type="http://schemas.openxmlformats.org/officeDocument/2006/relationships/hyperlink" Target="https://docs.google.com/spreadsheets/d/1NCwpiU3uGWqX32GHAWCCinqmrin0A57UEBUwuMLRFYo/edit?usp=sharing" TargetMode="External"/><Relationship Id="rId21" Type="http://schemas.openxmlformats.org/officeDocument/2006/relationships/hyperlink" Target="https://youtu.be/PDYVGyAsiCU" TargetMode="External"/><Relationship Id="rId7" Type="http://schemas.openxmlformats.org/officeDocument/2006/relationships/hyperlink" Target="https://youtu.be/IywSClR_jvc" TargetMode="External"/><Relationship Id="rId12" Type="http://schemas.openxmlformats.org/officeDocument/2006/relationships/hyperlink" Target="https://youtu.be/meQNsBZ23yg" TargetMode="External"/><Relationship Id="rId17" Type="http://schemas.openxmlformats.org/officeDocument/2006/relationships/hyperlink" Target="https://youtu.be/lNPJMONdyrc" TargetMode="External"/><Relationship Id="rId25" Type="http://schemas.openxmlformats.org/officeDocument/2006/relationships/hyperlink" Target="https://youtu.be/sEf9XWCeY2E" TargetMode="External"/><Relationship Id="rId2" Type="http://schemas.openxmlformats.org/officeDocument/2006/relationships/hyperlink" Target="https://youtu.be/KpBsOeo_7ZY" TargetMode="External"/><Relationship Id="rId16" Type="http://schemas.openxmlformats.org/officeDocument/2006/relationships/hyperlink" Target="https://youtu.be/puCl3hhAwlA" TargetMode="External"/><Relationship Id="rId20" Type="http://schemas.openxmlformats.org/officeDocument/2006/relationships/hyperlink" Target="https://youtu.be/1ewkcB1alkY" TargetMode="External"/><Relationship Id="rId1" Type="http://schemas.openxmlformats.org/officeDocument/2006/relationships/hyperlink" Target="https://www.youtube.com/watch?embeds_referring_euri=https%3A%2F%2Fdocs.google.com%2F&amp;source_ve_path=MTM5MTE3LDEzOTExNywxNjQ5OSwyODY2NCwxNjQ1MDM&amp;v=_yLMRGhkxzw&amp;feature=youtu.be" TargetMode="External"/><Relationship Id="rId6" Type="http://schemas.openxmlformats.org/officeDocument/2006/relationships/hyperlink" Target="https://youtu.be/Xw4gBkQkg_I" TargetMode="External"/><Relationship Id="rId11" Type="http://schemas.openxmlformats.org/officeDocument/2006/relationships/hyperlink" Target="https://youtu.be/M3ghemesNww" TargetMode="External"/><Relationship Id="rId24" Type="http://schemas.openxmlformats.org/officeDocument/2006/relationships/hyperlink" Target="https://youtu.be/Sy5gvYl5L28" TargetMode="External"/><Relationship Id="rId5" Type="http://schemas.openxmlformats.org/officeDocument/2006/relationships/hyperlink" Target="https://docs.google.com/spreadsheets/d/1NCwpiU3uGWqX32GHAWCCinqmrin0A57UEBUwuMLRFYo/edit?usp=sharing" TargetMode="External"/><Relationship Id="rId15" Type="http://schemas.openxmlformats.org/officeDocument/2006/relationships/hyperlink" Target="https://youtu.be/u9SGoE3WtEY" TargetMode="External"/><Relationship Id="rId23" Type="http://schemas.openxmlformats.org/officeDocument/2006/relationships/hyperlink" Target="https://youtu.be/QCmOvjiWsMA" TargetMode="External"/><Relationship Id="rId10" Type="http://schemas.openxmlformats.org/officeDocument/2006/relationships/hyperlink" Target="https://docs.google.com/spreadsheets/d/1NCwpiU3uGWqX32GHAWCCinqmrin0A57UEBUwuMLRFYo/edit?usp=sharing" TargetMode="External"/><Relationship Id="rId19" Type="http://schemas.openxmlformats.org/officeDocument/2006/relationships/hyperlink" Target="https://youtu.be/3uWiyPdZ7Wo" TargetMode="External"/><Relationship Id="rId4" Type="http://schemas.openxmlformats.org/officeDocument/2006/relationships/hyperlink" Target="https://youtu.be/-Oq5vs4UBrQ" TargetMode="External"/><Relationship Id="rId9" Type="http://schemas.openxmlformats.org/officeDocument/2006/relationships/hyperlink" Target="https://youtu.be/_QPDp8UNcbk" TargetMode="External"/><Relationship Id="rId14" Type="http://schemas.openxmlformats.org/officeDocument/2006/relationships/hyperlink" Target="https://docs.google.com/spreadsheets/d/1NCwpiU3uGWqX32GHAWCCinqmrin0A57UEBUwuMLRFYo/edit?usp=sharing" TargetMode="External"/><Relationship Id="rId22" Type="http://schemas.openxmlformats.org/officeDocument/2006/relationships/hyperlink" Target="https://docs.google.com/spreadsheets/d/1NCwpiU3uGWqX32GHAWCCinqmrin0A57UEBUwuMLRFYo/edit?usp=sharing" TargetMode="External"/><Relationship Id="rId27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66C0E-3126-4628-9DD8-A4FC48162DA2}">
  <sheetPr>
    <tabColor theme="9"/>
  </sheetPr>
  <dimension ref="B2:AG355"/>
  <sheetViews>
    <sheetView showGridLines="0" tabSelected="1" topLeftCell="A334" workbookViewId="0">
      <selection activeCell="S348" sqref="S348"/>
    </sheetView>
  </sheetViews>
  <sheetFormatPr defaultRowHeight="15" x14ac:dyDescent="0.25"/>
  <cols>
    <col min="1" max="1" width="3.140625" customWidth="1"/>
    <col min="2" max="2" width="4" customWidth="1"/>
    <col min="3" max="3" width="5" customWidth="1"/>
    <col min="16" max="16" width="9.42578125" bestFit="1" customWidth="1"/>
    <col min="17" max="17" width="51.42578125" customWidth="1"/>
    <col min="18" max="18" width="2.7109375" customWidth="1"/>
    <col min="19" max="19" width="5.5703125" bestFit="1" customWidth="1"/>
    <col min="20" max="20" width="3.42578125" customWidth="1"/>
    <col min="21" max="23" width="9.140625" style="33"/>
    <col min="24" max="24" width="10.140625" style="33" bestFit="1" customWidth="1"/>
    <col min="25" max="33" width="9.140625" style="33"/>
  </cols>
  <sheetData>
    <row r="2" spans="3:18" ht="28.5" customHeight="1" x14ac:dyDescent="0.25">
      <c r="C2" s="117" t="s">
        <v>63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</row>
    <row r="3" spans="3:18" x14ac:dyDescent="0.25">
      <c r="C3" s="5" t="s">
        <v>72</v>
      </c>
      <c r="N3" s="53" t="s">
        <v>73</v>
      </c>
      <c r="O3" s="54">
        <v>17</v>
      </c>
      <c r="P3" s="53">
        <v>21</v>
      </c>
      <c r="Q3" s="55">
        <f>(O3/P3)*100</f>
        <v>80.952380952380949</v>
      </c>
      <c r="R3" s="56" t="s">
        <v>64</v>
      </c>
    </row>
    <row r="4" spans="3:18" x14ac:dyDescent="0.25">
      <c r="C4" s="20" t="s">
        <v>65</v>
      </c>
    </row>
    <row r="5" spans="3:18" ht="7.5" customHeight="1" x14ac:dyDescent="0.25"/>
    <row r="6" spans="3:18" x14ac:dyDescent="0.25">
      <c r="C6" s="20" t="s">
        <v>66</v>
      </c>
    </row>
    <row r="7" spans="3:18" ht="7.5" customHeight="1" x14ac:dyDescent="0.25"/>
    <row r="8" spans="3:18" x14ac:dyDescent="0.25">
      <c r="C8" s="20" t="s">
        <v>68</v>
      </c>
    </row>
    <row r="9" spans="3:18" ht="7.5" customHeight="1" x14ac:dyDescent="0.25"/>
    <row r="10" spans="3:18" x14ac:dyDescent="0.25">
      <c r="C10" s="20" t="s">
        <v>69</v>
      </c>
    </row>
    <row r="11" spans="3:18" ht="7.5" customHeight="1" x14ac:dyDescent="0.25"/>
    <row r="12" spans="3:18" x14ac:dyDescent="0.25">
      <c r="C12" s="20" t="s">
        <v>70</v>
      </c>
    </row>
    <row r="13" spans="3:18" ht="7.5" customHeight="1" x14ac:dyDescent="0.25"/>
    <row r="14" spans="3:18" x14ac:dyDescent="0.25">
      <c r="C14" s="21" t="s">
        <v>71</v>
      </c>
    </row>
    <row r="15" spans="3:18" ht="7.5" customHeight="1" x14ac:dyDescent="0.25"/>
    <row r="16" spans="3:18" x14ac:dyDescent="0.25">
      <c r="C16" s="20" t="s">
        <v>67</v>
      </c>
    </row>
    <row r="18" spans="2:32" x14ac:dyDescent="0.25"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6"/>
    </row>
    <row r="19" spans="2:32" x14ac:dyDescent="0.25">
      <c r="B19" s="27"/>
      <c r="C19" s="113" t="s">
        <v>74</v>
      </c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28"/>
      <c r="T19" s="113" t="s">
        <v>84</v>
      </c>
      <c r="U19" s="113"/>
      <c r="V19" s="113"/>
      <c r="W19" s="113"/>
      <c r="X19" s="113"/>
      <c r="Y19" s="113"/>
      <c r="Z19" s="113"/>
      <c r="AA19" s="113"/>
    </row>
    <row r="20" spans="2:32" ht="15" customHeight="1" x14ac:dyDescent="0.25">
      <c r="B20" s="27"/>
      <c r="C20" t="s">
        <v>75</v>
      </c>
      <c r="Q20" s="38" t="s">
        <v>91</v>
      </c>
      <c r="R20" s="28"/>
      <c r="T20" s="96" t="s">
        <v>85</v>
      </c>
      <c r="U20" s="97"/>
      <c r="V20" s="97"/>
      <c r="W20" s="97"/>
      <c r="X20" s="97"/>
      <c r="Y20" s="97"/>
      <c r="Z20" s="97"/>
      <c r="AA20" s="98"/>
      <c r="AB20" s="22"/>
      <c r="AC20" s="22"/>
      <c r="AD20" s="22"/>
      <c r="AE20" s="22"/>
      <c r="AF20" s="22"/>
    </row>
    <row r="21" spans="2:32" x14ac:dyDescent="0.25">
      <c r="B21" s="27"/>
      <c r="C21" s="118" t="s">
        <v>79</v>
      </c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28"/>
      <c r="T21" s="99"/>
      <c r="U21" s="100"/>
      <c r="V21" s="100"/>
      <c r="W21" s="100"/>
      <c r="X21" s="100"/>
      <c r="Y21" s="100"/>
      <c r="Z21" s="100"/>
      <c r="AA21" s="101"/>
      <c r="AB21" s="22"/>
      <c r="AC21" s="22"/>
      <c r="AD21" s="22"/>
      <c r="AE21" s="22"/>
      <c r="AF21" s="22"/>
    </row>
    <row r="22" spans="2:32" x14ac:dyDescent="0.25">
      <c r="B22" s="27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28"/>
      <c r="T22" s="99"/>
      <c r="U22" s="100"/>
      <c r="V22" s="100"/>
      <c r="W22" s="100"/>
      <c r="X22" s="100"/>
      <c r="Y22" s="100"/>
      <c r="Z22" s="100"/>
      <c r="AA22" s="101"/>
      <c r="AB22" s="22"/>
      <c r="AC22" s="22"/>
      <c r="AD22" s="22"/>
      <c r="AE22" s="22"/>
      <c r="AF22" s="22"/>
    </row>
    <row r="23" spans="2:32" ht="88.5" customHeight="1" x14ac:dyDescent="0.25">
      <c r="B23" s="27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28"/>
      <c r="T23" s="99"/>
      <c r="U23" s="100"/>
      <c r="V23" s="100"/>
      <c r="W23" s="100"/>
      <c r="X23" s="100"/>
      <c r="Y23" s="100"/>
      <c r="Z23" s="100"/>
      <c r="AA23" s="101"/>
      <c r="AB23" s="29"/>
      <c r="AC23" s="29"/>
      <c r="AD23" s="29"/>
      <c r="AE23" s="29"/>
      <c r="AF23" s="29"/>
    </row>
    <row r="24" spans="2:32" x14ac:dyDescent="0.25">
      <c r="B24" s="27"/>
      <c r="C24" t="s">
        <v>76</v>
      </c>
      <c r="R24" s="28"/>
      <c r="T24" s="99"/>
      <c r="U24" s="100"/>
      <c r="V24" s="100"/>
      <c r="W24" s="100"/>
      <c r="X24" s="100"/>
      <c r="Y24" s="100"/>
      <c r="Z24" s="100"/>
      <c r="AA24" s="101"/>
      <c r="AB24" s="29"/>
      <c r="AC24" s="29"/>
      <c r="AD24" s="29"/>
      <c r="AE24" s="29"/>
      <c r="AF24" s="29"/>
    </row>
    <row r="25" spans="2:32" x14ac:dyDescent="0.25">
      <c r="B25" s="27"/>
      <c r="R25" s="28"/>
      <c r="T25" s="99"/>
      <c r="U25" s="100"/>
      <c r="V25" s="100"/>
      <c r="W25" s="100"/>
      <c r="X25" s="100"/>
      <c r="Y25" s="100"/>
      <c r="Z25" s="100"/>
      <c r="AA25" s="101"/>
      <c r="AB25" s="29"/>
      <c r="AC25" s="29"/>
      <c r="AD25" s="29"/>
      <c r="AE25" s="29"/>
      <c r="AF25" s="29"/>
    </row>
    <row r="26" spans="2:32" ht="21" customHeight="1" x14ac:dyDescent="0.25">
      <c r="B26" s="27"/>
      <c r="C26" s="114" t="s">
        <v>77</v>
      </c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28"/>
      <c r="T26" s="99"/>
      <c r="U26" s="100"/>
      <c r="V26" s="100"/>
      <c r="W26" s="100"/>
      <c r="X26" s="100"/>
      <c r="Y26" s="100"/>
      <c r="Z26" s="100"/>
      <c r="AA26" s="101"/>
      <c r="AB26" s="29"/>
      <c r="AC26" s="29"/>
      <c r="AD26" s="29"/>
      <c r="AE26" s="29"/>
      <c r="AF26" s="29"/>
    </row>
    <row r="27" spans="2:32" ht="18.75" customHeight="1" x14ac:dyDescent="0.25">
      <c r="B27" s="27"/>
      <c r="C27" s="23"/>
      <c r="D27" s="119" t="s">
        <v>80</v>
      </c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28"/>
      <c r="T27" s="99"/>
      <c r="U27" s="100"/>
      <c r="V27" s="100"/>
      <c r="W27" s="100"/>
      <c r="X27" s="100"/>
      <c r="Y27" s="100"/>
      <c r="Z27" s="100"/>
      <c r="AA27" s="101"/>
      <c r="AB27" s="29"/>
      <c r="AC27" s="29"/>
      <c r="AD27" s="29"/>
      <c r="AE27" s="29"/>
      <c r="AF27" s="29"/>
    </row>
    <row r="28" spans="2:32" ht="33" customHeight="1" x14ac:dyDescent="0.25">
      <c r="B28" s="27"/>
      <c r="C28" s="23"/>
      <c r="D28" s="119" t="s">
        <v>81</v>
      </c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28"/>
      <c r="T28" s="99"/>
      <c r="U28" s="100"/>
      <c r="V28" s="100"/>
      <c r="W28" s="100"/>
      <c r="X28" s="100"/>
      <c r="Y28" s="100"/>
      <c r="Z28" s="100"/>
      <c r="AA28" s="101"/>
      <c r="AB28" s="29"/>
      <c r="AC28" s="29"/>
      <c r="AD28" s="29"/>
      <c r="AE28" s="29"/>
      <c r="AF28" s="29"/>
    </row>
    <row r="29" spans="2:32" x14ac:dyDescent="0.25">
      <c r="B29" s="27"/>
      <c r="C29" s="41" t="s">
        <v>83</v>
      </c>
      <c r="D29" s="120" t="s">
        <v>78</v>
      </c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28"/>
      <c r="T29" s="99"/>
      <c r="U29" s="100"/>
      <c r="V29" s="100"/>
      <c r="W29" s="100"/>
      <c r="X29" s="100"/>
      <c r="Y29" s="100"/>
      <c r="Z29" s="100"/>
      <c r="AA29" s="101"/>
      <c r="AB29" s="29"/>
      <c r="AC29" s="29"/>
      <c r="AD29" s="29"/>
      <c r="AE29" s="29"/>
      <c r="AF29" s="29"/>
    </row>
    <row r="30" spans="2:32" x14ac:dyDescent="0.25">
      <c r="B30" s="27"/>
      <c r="C30" s="23"/>
      <c r="D30" s="132" t="s">
        <v>82</v>
      </c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28"/>
      <c r="T30" s="102"/>
      <c r="U30" s="103"/>
      <c r="V30" s="103"/>
      <c r="W30" s="103"/>
      <c r="X30" s="103"/>
      <c r="Y30" s="103"/>
      <c r="Z30" s="103"/>
      <c r="AA30" s="104"/>
      <c r="AB30" s="29"/>
      <c r="AC30" s="29"/>
      <c r="AD30" s="29"/>
      <c r="AE30" s="29"/>
      <c r="AF30" s="29"/>
    </row>
    <row r="31" spans="2:32" ht="16.5" customHeight="1" x14ac:dyDescent="0.25">
      <c r="B31" s="30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2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</row>
    <row r="32" spans="2:32" x14ac:dyDescent="0.25"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6"/>
      <c r="T32" s="113" t="s">
        <v>84</v>
      </c>
      <c r="U32" s="113"/>
      <c r="V32" s="113"/>
      <c r="W32" s="113"/>
      <c r="X32" s="113"/>
      <c r="Y32" s="113"/>
      <c r="Z32" s="113"/>
      <c r="AA32" s="113"/>
      <c r="AB32" s="29"/>
      <c r="AC32" s="29"/>
      <c r="AD32" s="29"/>
      <c r="AE32" s="29"/>
      <c r="AF32" s="29"/>
    </row>
    <row r="33" spans="2:32" x14ac:dyDescent="0.25">
      <c r="B33" s="27"/>
      <c r="C33" s="39" t="s">
        <v>86</v>
      </c>
      <c r="Q33" s="38" t="s">
        <v>91</v>
      </c>
      <c r="R33" s="28"/>
      <c r="T33" s="124" t="s">
        <v>92</v>
      </c>
      <c r="U33" s="125"/>
      <c r="V33" s="125"/>
      <c r="W33" s="125"/>
      <c r="X33" s="125"/>
      <c r="Y33" s="125"/>
      <c r="Z33" s="125"/>
      <c r="AA33" s="125"/>
      <c r="AB33" s="126"/>
      <c r="AC33" s="29"/>
      <c r="AD33" s="29"/>
      <c r="AE33" s="29"/>
      <c r="AF33" s="29"/>
    </row>
    <row r="34" spans="2:32" x14ac:dyDescent="0.25">
      <c r="B34" s="27"/>
      <c r="C34" s="12"/>
      <c r="D34" s="115" t="s">
        <v>87</v>
      </c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28"/>
      <c r="T34" s="127"/>
      <c r="U34" s="94"/>
      <c r="V34" s="94"/>
      <c r="W34" s="94"/>
      <c r="X34" s="94"/>
      <c r="Y34" s="94"/>
      <c r="Z34" s="94"/>
      <c r="AA34" s="94"/>
      <c r="AB34" s="128"/>
      <c r="AC34" s="29"/>
      <c r="AD34" s="29"/>
      <c r="AE34" s="29"/>
      <c r="AF34" s="29"/>
    </row>
    <row r="35" spans="2:32" x14ac:dyDescent="0.25">
      <c r="B35" s="27"/>
      <c r="C35" s="12"/>
      <c r="D35" s="115" t="s">
        <v>88</v>
      </c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28"/>
      <c r="T35" s="127"/>
      <c r="U35" s="94"/>
      <c r="V35" s="94"/>
      <c r="W35" s="94"/>
      <c r="X35" s="94"/>
      <c r="Y35" s="94"/>
      <c r="Z35" s="94"/>
      <c r="AA35" s="94"/>
      <c r="AB35" s="128"/>
      <c r="AC35" s="29"/>
      <c r="AD35" s="29"/>
      <c r="AE35" s="29"/>
      <c r="AF35" s="29"/>
    </row>
    <row r="36" spans="2:32" x14ac:dyDescent="0.25">
      <c r="B36" s="27"/>
      <c r="C36" s="12"/>
      <c r="D36" s="115" t="s">
        <v>89</v>
      </c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35"/>
      <c r="S36" s="33"/>
      <c r="T36" s="127"/>
      <c r="U36" s="94"/>
      <c r="V36" s="94"/>
      <c r="W36" s="94"/>
      <c r="X36" s="94"/>
      <c r="Y36" s="94"/>
      <c r="Z36" s="94"/>
      <c r="AA36" s="94"/>
      <c r="AB36" s="128"/>
      <c r="AC36" s="29"/>
      <c r="AD36" s="29"/>
      <c r="AE36" s="29"/>
      <c r="AF36" s="29"/>
    </row>
    <row r="37" spans="2:32" x14ac:dyDescent="0.25">
      <c r="B37" s="27"/>
      <c r="C37" s="40" t="s">
        <v>83</v>
      </c>
      <c r="D37" s="115" t="s">
        <v>90</v>
      </c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35"/>
      <c r="S37" s="33"/>
      <c r="T37" s="129"/>
      <c r="U37" s="130"/>
      <c r="V37" s="130"/>
      <c r="W37" s="130"/>
      <c r="X37" s="130"/>
      <c r="Y37" s="130"/>
      <c r="Z37" s="130"/>
      <c r="AA37" s="130"/>
      <c r="AB37" s="131"/>
      <c r="AC37" s="29"/>
      <c r="AD37" s="29"/>
      <c r="AE37" s="29"/>
      <c r="AF37" s="29"/>
    </row>
    <row r="38" spans="2:32" x14ac:dyDescent="0.25">
      <c r="B38" s="30"/>
      <c r="C38" s="31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7"/>
      <c r="S38" s="33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</row>
    <row r="39" spans="2:32" x14ac:dyDescent="0.25">
      <c r="B39" s="24"/>
      <c r="C39" s="25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3"/>
      <c r="S39" s="33"/>
      <c r="T39" s="113" t="s">
        <v>84</v>
      </c>
      <c r="U39" s="113"/>
      <c r="V39" s="113"/>
      <c r="W39" s="113"/>
      <c r="X39" s="113"/>
      <c r="Y39" s="113"/>
      <c r="Z39" s="113"/>
      <c r="AA39" s="113"/>
      <c r="AB39" s="29"/>
      <c r="AC39" s="29"/>
      <c r="AD39" s="29"/>
      <c r="AE39" s="29"/>
      <c r="AF39" s="29"/>
    </row>
    <row r="40" spans="2:32" x14ac:dyDescent="0.25">
      <c r="B40" s="27"/>
      <c r="C40" s="110" t="s">
        <v>93</v>
      </c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35"/>
      <c r="S40" s="33"/>
      <c r="T40" s="96" t="s">
        <v>101</v>
      </c>
      <c r="U40" s="97"/>
      <c r="V40" s="97"/>
      <c r="W40" s="97"/>
      <c r="X40" s="97"/>
      <c r="Y40" s="97"/>
      <c r="Z40" s="97"/>
      <c r="AA40" s="98"/>
      <c r="AB40" s="29"/>
      <c r="AC40" s="29"/>
      <c r="AD40" s="29"/>
      <c r="AE40" s="29"/>
      <c r="AF40" s="29"/>
    </row>
    <row r="41" spans="2:32" ht="15" customHeight="1" x14ac:dyDescent="0.25">
      <c r="B41" s="27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35"/>
      <c r="S41" s="33"/>
      <c r="T41" s="99"/>
      <c r="U41" s="100"/>
      <c r="V41" s="100"/>
      <c r="W41" s="100"/>
      <c r="X41" s="100"/>
      <c r="Y41" s="100"/>
      <c r="Z41" s="100"/>
      <c r="AA41" s="101"/>
      <c r="AB41" s="29"/>
      <c r="AC41" s="29"/>
      <c r="AD41" s="29"/>
      <c r="AE41" s="29"/>
      <c r="AF41" s="29"/>
    </row>
    <row r="42" spans="2:32" ht="15" customHeight="1" x14ac:dyDescent="0.25">
      <c r="B42" s="27"/>
      <c r="C42" t="s">
        <v>94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44" t="s">
        <v>91</v>
      </c>
      <c r="Q42" s="45" t="s">
        <v>100</v>
      </c>
      <c r="R42" s="35"/>
      <c r="S42" s="33"/>
      <c r="T42" s="99"/>
      <c r="U42" s="100"/>
      <c r="V42" s="100"/>
      <c r="W42" s="100"/>
      <c r="X42" s="100"/>
      <c r="Y42" s="100"/>
      <c r="Z42" s="100"/>
      <c r="AA42" s="101"/>
      <c r="AB42" s="29"/>
      <c r="AC42" s="29"/>
      <c r="AD42" s="29"/>
      <c r="AE42" s="29"/>
      <c r="AF42" s="29"/>
    </row>
    <row r="43" spans="2:32" x14ac:dyDescent="0.25">
      <c r="B43" s="27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5"/>
      <c r="S43" s="33"/>
      <c r="T43" s="99"/>
      <c r="U43" s="100"/>
      <c r="V43" s="100"/>
      <c r="W43" s="100"/>
      <c r="X43" s="100"/>
      <c r="Y43" s="100"/>
      <c r="Z43" s="100"/>
      <c r="AA43" s="101"/>
      <c r="AB43" s="29"/>
      <c r="AC43" s="29"/>
      <c r="AD43" s="29"/>
      <c r="AE43" s="29"/>
      <c r="AF43" s="29"/>
    </row>
    <row r="44" spans="2:32" x14ac:dyDescent="0.25">
      <c r="B44" s="27"/>
      <c r="C44" t="s">
        <v>95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5"/>
      <c r="S44" s="33"/>
      <c r="T44" s="99"/>
      <c r="U44" s="100"/>
      <c r="V44" s="100"/>
      <c r="W44" s="100"/>
      <c r="X44" s="100"/>
      <c r="Y44" s="100"/>
      <c r="Z44" s="100"/>
      <c r="AA44" s="101"/>
      <c r="AB44" s="29"/>
      <c r="AC44" s="29"/>
      <c r="AD44" s="29"/>
      <c r="AE44" s="29"/>
      <c r="AF44" s="29"/>
    </row>
    <row r="45" spans="2:32" x14ac:dyDescent="0.25">
      <c r="B45" s="27"/>
      <c r="C45" s="11"/>
      <c r="D45" s="123" t="s">
        <v>96</v>
      </c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35"/>
      <c r="S45" s="33"/>
      <c r="T45" s="99"/>
      <c r="U45" s="100"/>
      <c r="V45" s="100"/>
      <c r="W45" s="100"/>
      <c r="X45" s="100"/>
      <c r="Y45" s="100"/>
      <c r="Z45" s="100"/>
      <c r="AA45" s="101"/>
      <c r="AB45" s="29"/>
      <c r="AC45" s="29"/>
      <c r="AD45" s="29"/>
      <c r="AE45" s="29"/>
      <c r="AF45" s="29"/>
    </row>
    <row r="46" spans="2:32" x14ac:dyDescent="0.25">
      <c r="B46" s="27"/>
      <c r="C46" s="11"/>
      <c r="D46" s="123" t="s">
        <v>97</v>
      </c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35"/>
      <c r="S46" s="33"/>
      <c r="T46" s="99"/>
      <c r="U46" s="100"/>
      <c r="V46" s="100"/>
      <c r="W46" s="100"/>
      <c r="X46" s="100"/>
      <c r="Y46" s="100"/>
      <c r="Z46" s="100"/>
      <c r="AA46" s="101"/>
      <c r="AB46" s="29"/>
      <c r="AC46" s="29"/>
      <c r="AD46" s="29"/>
      <c r="AE46" s="29"/>
      <c r="AF46" s="29"/>
    </row>
    <row r="47" spans="2:32" x14ac:dyDescent="0.25">
      <c r="B47" s="27"/>
      <c r="C47" s="11"/>
      <c r="D47" s="123" t="s">
        <v>98</v>
      </c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35"/>
      <c r="S47" s="33"/>
      <c r="T47" s="99"/>
      <c r="U47" s="100"/>
      <c r="V47" s="100"/>
      <c r="W47" s="100"/>
      <c r="X47" s="100"/>
      <c r="Y47" s="100"/>
      <c r="Z47" s="100"/>
      <c r="AA47" s="101"/>
      <c r="AB47" s="29"/>
      <c r="AC47" s="29"/>
      <c r="AD47" s="29"/>
      <c r="AE47" s="29"/>
      <c r="AF47" s="29"/>
    </row>
    <row r="48" spans="2:32" x14ac:dyDescent="0.25">
      <c r="B48" s="27"/>
      <c r="C48" s="40" t="s">
        <v>83</v>
      </c>
      <c r="D48" s="123" t="s">
        <v>99</v>
      </c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35"/>
      <c r="S48" s="33"/>
      <c r="T48" s="102"/>
      <c r="U48" s="103"/>
      <c r="V48" s="103"/>
      <c r="W48" s="103"/>
      <c r="X48" s="103"/>
      <c r="Y48" s="103"/>
      <c r="Z48" s="103"/>
      <c r="AA48" s="104"/>
      <c r="AB48" s="29"/>
      <c r="AC48" s="29"/>
      <c r="AD48" s="29"/>
      <c r="AE48" s="29"/>
      <c r="AF48" s="29"/>
    </row>
    <row r="49" spans="2:32" x14ac:dyDescent="0.25">
      <c r="B49" s="30"/>
      <c r="C49" s="31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7"/>
      <c r="S49" s="33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</row>
    <row r="50" spans="2:32" x14ac:dyDescent="0.25">
      <c r="B50" s="24"/>
      <c r="C50" s="25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6" t="s">
        <v>107</v>
      </c>
      <c r="Q50" s="47" t="s">
        <v>100</v>
      </c>
      <c r="R50" s="43"/>
      <c r="S50" s="33"/>
      <c r="T50" s="48" t="s">
        <v>108</v>
      </c>
      <c r="U50" s="5"/>
      <c r="V50" s="49"/>
      <c r="W50" s="49"/>
      <c r="X50" s="29"/>
      <c r="Y50" s="29"/>
      <c r="Z50" s="29"/>
      <c r="AA50" s="29"/>
      <c r="AB50" s="29"/>
      <c r="AC50" s="29"/>
      <c r="AD50" s="29"/>
      <c r="AE50" s="29"/>
      <c r="AF50" s="29"/>
    </row>
    <row r="51" spans="2:32" x14ac:dyDescent="0.25">
      <c r="B51" s="27"/>
      <c r="C51" s="110" t="s">
        <v>102</v>
      </c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35"/>
      <c r="S51" s="33"/>
      <c r="T51" s="24"/>
      <c r="U51" s="77"/>
      <c r="V51" s="77"/>
      <c r="W51" s="77"/>
      <c r="X51" s="77"/>
      <c r="Y51" s="77"/>
      <c r="Z51" s="77"/>
      <c r="AA51" s="77"/>
      <c r="AB51" s="77"/>
      <c r="AC51" s="78"/>
      <c r="AD51" s="29"/>
      <c r="AE51" s="29"/>
      <c r="AF51" s="29"/>
    </row>
    <row r="52" spans="2:32" x14ac:dyDescent="0.25">
      <c r="B52" s="27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35"/>
      <c r="S52" s="33"/>
      <c r="T52" s="27"/>
      <c r="U52" s="121" t="s">
        <v>114</v>
      </c>
      <c r="V52" s="121"/>
      <c r="W52" s="121"/>
      <c r="X52" s="121"/>
      <c r="Y52" s="121"/>
      <c r="Z52" s="121"/>
      <c r="AA52" s="80">
        <f>AVERAGE('DADOS 1'!C28:C42)</f>
        <v>4.9893333333333345</v>
      </c>
      <c r="AB52" s="81" t="s">
        <v>113</v>
      </c>
      <c r="AC52" s="82"/>
      <c r="AD52" s="29"/>
      <c r="AE52" s="29"/>
      <c r="AF52" s="29"/>
    </row>
    <row r="53" spans="2:32" ht="15" customHeight="1" x14ac:dyDescent="0.25">
      <c r="B53" s="27"/>
      <c r="C53" s="41" t="s">
        <v>83</v>
      </c>
      <c r="D53" s="110" t="s">
        <v>103</v>
      </c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35"/>
      <c r="S53" s="33"/>
      <c r="T53" s="27"/>
      <c r="U53" s="22"/>
      <c r="V53" s="22"/>
      <c r="W53" s="22"/>
      <c r="X53" s="22"/>
      <c r="Y53" s="22"/>
      <c r="Z53" s="22"/>
      <c r="AA53" s="22"/>
      <c r="AB53" s="22"/>
      <c r="AC53" s="79"/>
      <c r="AD53" s="29"/>
      <c r="AE53" s="29"/>
      <c r="AF53" s="29"/>
    </row>
    <row r="54" spans="2:32" ht="15" customHeight="1" x14ac:dyDescent="0.25">
      <c r="B54" s="27"/>
      <c r="C54" s="12"/>
      <c r="D54" s="110" t="s">
        <v>104</v>
      </c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35"/>
      <c r="S54" s="33"/>
      <c r="T54" s="27"/>
      <c r="U54" s="122" t="s">
        <v>109</v>
      </c>
      <c r="V54" s="122"/>
      <c r="W54" s="122"/>
      <c r="X54" s="122"/>
      <c r="Y54" s="122"/>
      <c r="Z54" s="122"/>
      <c r="AA54" s="80">
        <f>MIN('DADOS 1'!C28:C42)</f>
        <v>4.5999999999999996</v>
      </c>
      <c r="AB54" s="81" t="s">
        <v>112</v>
      </c>
      <c r="AC54" s="79"/>
      <c r="AD54" s="29"/>
      <c r="AE54" s="29"/>
      <c r="AF54" s="29"/>
    </row>
    <row r="55" spans="2:32" x14ac:dyDescent="0.25">
      <c r="B55" s="27"/>
      <c r="C55" s="12"/>
      <c r="D55" s="110" t="s">
        <v>105</v>
      </c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35"/>
      <c r="S55" s="33"/>
      <c r="T55" s="27"/>
      <c r="U55" s="29"/>
      <c r="V55" s="29"/>
      <c r="W55" s="29"/>
      <c r="X55" s="29"/>
      <c r="Y55" s="29"/>
      <c r="Z55" s="29"/>
      <c r="AA55" s="29"/>
      <c r="AB55" s="29"/>
      <c r="AC55" s="79"/>
      <c r="AD55" s="29"/>
      <c r="AE55" s="29"/>
      <c r="AF55" s="29"/>
    </row>
    <row r="56" spans="2:32" x14ac:dyDescent="0.25">
      <c r="B56" s="27"/>
      <c r="C56" s="12"/>
      <c r="D56" s="110" t="s">
        <v>106</v>
      </c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35"/>
      <c r="S56" s="33"/>
      <c r="T56" s="30"/>
      <c r="U56" s="135" t="s">
        <v>110</v>
      </c>
      <c r="V56" s="135"/>
      <c r="W56" s="135"/>
      <c r="X56" s="135"/>
      <c r="Y56" s="135"/>
      <c r="Z56" s="135"/>
      <c r="AA56" s="83">
        <f>MAX('DADOS 1'!C28:C42)</f>
        <v>5.31</v>
      </c>
      <c r="AB56" s="84" t="s">
        <v>111</v>
      </c>
      <c r="AC56" s="85"/>
      <c r="AD56" s="29"/>
      <c r="AE56" s="29"/>
      <c r="AF56" s="29"/>
    </row>
    <row r="57" spans="2:32" x14ac:dyDescent="0.25">
      <c r="B57" s="30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7"/>
      <c r="S57" s="33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</row>
    <row r="58" spans="2:32" x14ac:dyDescent="0.25">
      <c r="B58" s="24"/>
      <c r="C58" s="25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3"/>
      <c r="S58" s="33"/>
      <c r="T58" s="137" t="s">
        <v>116</v>
      </c>
      <c r="U58" s="137"/>
      <c r="V58" s="137"/>
      <c r="W58" s="137"/>
      <c r="X58" s="137"/>
      <c r="Y58" s="137"/>
      <c r="Z58" s="137"/>
      <c r="AA58" s="137"/>
      <c r="AB58" s="137"/>
      <c r="AC58" s="29"/>
      <c r="AD58" s="29"/>
      <c r="AE58" s="29"/>
      <c r="AF58" s="29"/>
    </row>
    <row r="59" spans="2:32" ht="15" customHeight="1" x14ac:dyDescent="0.25">
      <c r="B59" s="27"/>
      <c r="C59" s="100" t="s">
        <v>115</v>
      </c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35"/>
      <c r="S59" s="33"/>
      <c r="T59" s="133"/>
      <c r="U59" s="133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</row>
    <row r="60" spans="2:32" x14ac:dyDescent="0.25">
      <c r="B60" s="27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35"/>
      <c r="S60" s="33"/>
      <c r="T60" s="96" t="s">
        <v>117</v>
      </c>
      <c r="U60" s="97"/>
      <c r="V60" s="97"/>
      <c r="W60" s="97"/>
      <c r="X60" s="97"/>
      <c r="Y60" s="97"/>
      <c r="Z60" s="97"/>
      <c r="AA60" s="98"/>
      <c r="AB60" s="29"/>
      <c r="AC60" s="29"/>
      <c r="AD60" s="29"/>
      <c r="AE60" s="29"/>
      <c r="AF60" s="29"/>
    </row>
    <row r="61" spans="2:32" x14ac:dyDescent="0.25">
      <c r="B61" s="27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35"/>
      <c r="S61" s="33"/>
      <c r="T61" s="99"/>
      <c r="U61" s="100"/>
      <c r="V61" s="100"/>
      <c r="W61" s="100"/>
      <c r="X61" s="100"/>
      <c r="Y61" s="100"/>
      <c r="Z61" s="100"/>
      <c r="AA61" s="101"/>
      <c r="AB61" s="29"/>
      <c r="AC61" s="29"/>
      <c r="AD61" s="29"/>
      <c r="AE61" s="29"/>
      <c r="AF61" s="29"/>
    </row>
    <row r="62" spans="2:32" x14ac:dyDescent="0.25">
      <c r="B62" s="27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35"/>
      <c r="S62" s="33"/>
      <c r="T62" s="99"/>
      <c r="U62" s="100"/>
      <c r="V62" s="100"/>
      <c r="W62" s="100"/>
      <c r="X62" s="100"/>
      <c r="Y62" s="100"/>
      <c r="Z62" s="100"/>
      <c r="AA62" s="101"/>
      <c r="AB62" s="29"/>
      <c r="AC62" s="29"/>
      <c r="AD62" s="29"/>
      <c r="AE62" s="29"/>
      <c r="AF62" s="29"/>
    </row>
    <row r="63" spans="2:32" x14ac:dyDescent="0.25">
      <c r="B63" s="27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1" t="s">
        <v>107</v>
      </c>
      <c r="Q63" s="52" t="s">
        <v>100</v>
      </c>
      <c r="R63" s="35"/>
      <c r="S63" s="33"/>
      <c r="T63" s="99"/>
      <c r="U63" s="100"/>
      <c r="V63" s="100"/>
      <c r="W63" s="100"/>
      <c r="X63" s="100"/>
      <c r="Y63" s="100"/>
      <c r="Z63" s="100"/>
      <c r="AA63" s="101"/>
      <c r="AB63" s="29"/>
      <c r="AC63" s="29"/>
      <c r="AD63" s="29"/>
      <c r="AE63" s="29"/>
      <c r="AF63" s="29"/>
    </row>
    <row r="64" spans="2:32" x14ac:dyDescent="0.25">
      <c r="B64" s="27"/>
      <c r="C64" s="23"/>
      <c r="D64" s="33" t="s">
        <v>14</v>
      </c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5"/>
      <c r="S64" s="33"/>
      <c r="T64" s="99"/>
      <c r="U64" s="100"/>
      <c r="V64" s="100"/>
      <c r="W64" s="100"/>
      <c r="X64" s="100"/>
      <c r="Y64" s="100"/>
      <c r="Z64" s="100"/>
      <c r="AA64" s="101"/>
      <c r="AB64" s="29"/>
      <c r="AC64" s="29"/>
      <c r="AD64" s="29"/>
      <c r="AE64" s="29"/>
      <c r="AF64" s="29"/>
    </row>
    <row r="65" spans="2:32" x14ac:dyDescent="0.25">
      <c r="B65" s="27"/>
      <c r="C65" s="23"/>
      <c r="D65" s="33" t="s">
        <v>18</v>
      </c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5"/>
      <c r="S65" s="33"/>
      <c r="T65" s="99"/>
      <c r="U65" s="100"/>
      <c r="V65" s="100"/>
      <c r="W65" s="100"/>
      <c r="X65" s="100"/>
      <c r="Y65" s="100"/>
      <c r="Z65" s="100"/>
      <c r="AA65" s="101"/>
      <c r="AB65" s="29"/>
      <c r="AC65" s="29"/>
      <c r="AD65" s="29"/>
      <c r="AE65" s="29"/>
      <c r="AF65" s="29"/>
    </row>
    <row r="66" spans="2:32" x14ac:dyDescent="0.25">
      <c r="B66" s="27"/>
      <c r="C66" s="41" t="s">
        <v>83</v>
      </c>
      <c r="D66" s="33" t="s">
        <v>19</v>
      </c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5"/>
      <c r="S66" s="33"/>
      <c r="T66" s="99"/>
      <c r="U66" s="100"/>
      <c r="V66" s="100"/>
      <c r="W66" s="100"/>
      <c r="X66" s="100"/>
      <c r="Y66" s="100"/>
      <c r="Z66" s="100"/>
      <c r="AA66" s="101"/>
      <c r="AB66" s="29"/>
      <c r="AC66" s="29"/>
      <c r="AD66" s="29"/>
      <c r="AE66" s="29"/>
      <c r="AF66" s="29"/>
    </row>
    <row r="67" spans="2:32" x14ac:dyDescent="0.25">
      <c r="B67" s="27"/>
      <c r="C67" s="23"/>
      <c r="D67" s="33" t="s">
        <v>22</v>
      </c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5"/>
      <c r="S67" s="33"/>
      <c r="T67" s="102"/>
      <c r="U67" s="103"/>
      <c r="V67" s="103"/>
      <c r="W67" s="103"/>
      <c r="X67" s="103"/>
      <c r="Y67" s="103"/>
      <c r="Z67" s="103"/>
      <c r="AA67" s="104"/>
      <c r="AB67" s="29"/>
      <c r="AC67" s="29"/>
      <c r="AD67" s="29"/>
      <c r="AE67" s="29"/>
      <c r="AF67" s="29"/>
    </row>
    <row r="68" spans="2:32" x14ac:dyDescent="0.25">
      <c r="B68" s="30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2"/>
      <c r="T68" s="133"/>
      <c r="U68" s="133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</row>
    <row r="69" spans="2:32" x14ac:dyDescent="0.25">
      <c r="B69" s="24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6"/>
      <c r="T69" s="134" t="s">
        <v>116</v>
      </c>
      <c r="U69" s="134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</row>
    <row r="70" spans="2:32" ht="15" customHeight="1" x14ac:dyDescent="0.25">
      <c r="B70" s="27"/>
      <c r="C70" s="100" t="s">
        <v>118</v>
      </c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28"/>
      <c r="T70" s="124" t="s">
        <v>121</v>
      </c>
      <c r="U70" s="136"/>
      <c r="V70" s="136"/>
      <c r="W70" s="136"/>
      <c r="X70" s="136"/>
      <c r="Y70" s="77"/>
      <c r="Z70" s="77"/>
      <c r="AA70" s="78"/>
      <c r="AB70" s="29"/>
      <c r="AC70" s="29"/>
      <c r="AD70" s="29"/>
      <c r="AE70" s="29"/>
      <c r="AF70" s="29"/>
    </row>
    <row r="71" spans="2:32" x14ac:dyDescent="0.25">
      <c r="B71" s="27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28"/>
      <c r="T71" s="123"/>
      <c r="U71" s="110"/>
      <c r="V71" s="110"/>
      <c r="W71" s="110"/>
      <c r="X71" s="110"/>
      <c r="Y71" s="29"/>
      <c r="Z71" s="29"/>
      <c r="AA71" s="79"/>
      <c r="AB71" s="29"/>
      <c r="AC71" s="29"/>
      <c r="AD71" s="29"/>
      <c r="AE71" s="29"/>
      <c r="AF71" s="29"/>
    </row>
    <row r="72" spans="2:32" x14ac:dyDescent="0.25">
      <c r="B72" s="27"/>
      <c r="C72" t="s">
        <v>119</v>
      </c>
      <c r="P72" s="34" t="s">
        <v>107</v>
      </c>
      <c r="Q72" s="38" t="s">
        <v>100</v>
      </c>
      <c r="R72" s="28"/>
      <c r="T72" s="96" t="s">
        <v>124</v>
      </c>
      <c r="U72" s="97"/>
      <c r="V72" s="97"/>
      <c r="W72" s="97"/>
      <c r="X72" s="97"/>
      <c r="Y72" s="97"/>
      <c r="Z72" s="97"/>
      <c r="AA72" s="98"/>
      <c r="AB72" s="29"/>
      <c r="AC72" s="29"/>
      <c r="AD72" s="29"/>
      <c r="AE72" s="29"/>
      <c r="AF72" s="29"/>
    </row>
    <row r="73" spans="2:32" x14ac:dyDescent="0.25">
      <c r="B73" s="27"/>
      <c r="R73" s="28"/>
      <c r="T73" s="99"/>
      <c r="U73" s="100"/>
      <c r="V73" s="100"/>
      <c r="W73" s="100"/>
      <c r="X73" s="100"/>
      <c r="Y73" s="100"/>
      <c r="Z73" s="100"/>
      <c r="AA73" s="101"/>
      <c r="AB73" s="29"/>
      <c r="AC73" s="29"/>
      <c r="AD73" s="29"/>
      <c r="AE73" s="29"/>
      <c r="AF73" s="29"/>
    </row>
    <row r="74" spans="2:32" x14ac:dyDescent="0.25">
      <c r="B74" s="27"/>
      <c r="C74" s="23"/>
      <c r="D74" t="s">
        <v>14</v>
      </c>
      <c r="R74" s="28"/>
      <c r="T74" s="99"/>
      <c r="U74" s="100"/>
      <c r="V74" s="100"/>
      <c r="W74" s="100"/>
      <c r="X74" s="100"/>
      <c r="Y74" s="100"/>
      <c r="Z74" s="100"/>
      <c r="AA74" s="101"/>
      <c r="AB74" s="29"/>
      <c r="AC74" s="29"/>
      <c r="AD74" s="29"/>
      <c r="AE74" s="29"/>
      <c r="AF74" s="29"/>
    </row>
    <row r="75" spans="2:32" x14ac:dyDescent="0.25">
      <c r="B75" s="27"/>
      <c r="C75" s="23"/>
      <c r="D75" t="s">
        <v>18</v>
      </c>
      <c r="R75" s="28"/>
      <c r="T75" s="99"/>
      <c r="U75" s="100"/>
      <c r="V75" s="100"/>
      <c r="W75" s="100"/>
      <c r="X75" s="100"/>
      <c r="Y75" s="100"/>
      <c r="Z75" s="100"/>
      <c r="AA75" s="101"/>
    </row>
    <row r="76" spans="2:32" x14ac:dyDescent="0.25">
      <c r="B76" s="27"/>
      <c r="C76" s="23"/>
      <c r="D76" t="s">
        <v>20</v>
      </c>
      <c r="R76" s="28"/>
      <c r="T76" s="99"/>
      <c r="U76" s="100"/>
      <c r="V76" s="100"/>
      <c r="W76" s="100"/>
      <c r="X76" s="100"/>
      <c r="Y76" s="100"/>
      <c r="Z76" s="100"/>
      <c r="AA76" s="101"/>
    </row>
    <row r="77" spans="2:32" x14ac:dyDescent="0.25">
      <c r="B77" s="27"/>
      <c r="C77" s="59"/>
      <c r="D77" s="60" t="s">
        <v>22</v>
      </c>
      <c r="R77" s="28"/>
      <c r="T77" s="99"/>
      <c r="U77" s="100"/>
      <c r="V77" s="100"/>
      <c r="W77" s="100"/>
      <c r="X77" s="100"/>
      <c r="Y77" s="100"/>
      <c r="Z77" s="100"/>
      <c r="AA77" s="101"/>
    </row>
    <row r="78" spans="2:32" x14ac:dyDescent="0.25">
      <c r="B78" s="27"/>
      <c r="C78" s="41" t="s">
        <v>83</v>
      </c>
      <c r="D78" t="s">
        <v>20</v>
      </c>
      <c r="R78" s="28"/>
      <c r="T78" s="102"/>
      <c r="U78" s="103"/>
      <c r="V78" s="103"/>
      <c r="W78" s="103"/>
      <c r="X78" s="103"/>
      <c r="Y78" s="103"/>
      <c r="Z78" s="103"/>
      <c r="AA78" s="104"/>
    </row>
    <row r="79" spans="2:32" x14ac:dyDescent="0.25">
      <c r="B79" s="30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2"/>
      <c r="U79"/>
    </row>
    <row r="80" spans="2:32" x14ac:dyDescent="0.25">
      <c r="B80" s="111" t="s">
        <v>125</v>
      </c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T80" s="133"/>
      <c r="U80" s="133"/>
    </row>
    <row r="81" spans="2:27" x14ac:dyDescent="0.25">
      <c r="B81" s="24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6"/>
      <c r="T81" s="133" t="s">
        <v>116</v>
      </c>
      <c r="U81" s="133"/>
    </row>
    <row r="82" spans="2:27" x14ac:dyDescent="0.25">
      <c r="B82" s="27"/>
      <c r="C82" s="110" t="s">
        <v>126</v>
      </c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28"/>
      <c r="T82" s="133"/>
      <c r="U82" s="133"/>
    </row>
    <row r="83" spans="2:27" x14ac:dyDescent="0.25">
      <c r="B83" s="27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28"/>
      <c r="T83" s="133"/>
      <c r="U83" s="133"/>
    </row>
    <row r="84" spans="2:27" ht="15" customHeight="1" x14ac:dyDescent="0.25">
      <c r="B84" s="27"/>
      <c r="C84" t="s">
        <v>127</v>
      </c>
      <c r="P84" s="66" t="s">
        <v>107</v>
      </c>
      <c r="Q84" s="65"/>
      <c r="R84" s="28"/>
      <c r="T84" s="96" t="s">
        <v>133</v>
      </c>
      <c r="U84" s="97"/>
      <c r="V84" s="97"/>
      <c r="W84" s="97"/>
      <c r="X84" s="97"/>
      <c r="Y84" s="97"/>
      <c r="Z84" s="97"/>
      <c r="AA84" s="98"/>
    </row>
    <row r="85" spans="2:27" x14ac:dyDescent="0.25">
      <c r="B85" s="27"/>
      <c r="R85" s="28"/>
      <c r="T85" s="99"/>
      <c r="U85" s="100"/>
      <c r="V85" s="100"/>
      <c r="W85" s="100"/>
      <c r="X85" s="100"/>
      <c r="Y85" s="100"/>
      <c r="Z85" s="100"/>
      <c r="AA85" s="101"/>
    </row>
    <row r="86" spans="2:27" x14ac:dyDescent="0.25">
      <c r="B86" s="27"/>
      <c r="R86" s="28"/>
      <c r="T86" s="99"/>
      <c r="U86" s="100"/>
      <c r="V86" s="100"/>
      <c r="W86" s="100"/>
      <c r="X86" s="100"/>
      <c r="Y86" s="100"/>
      <c r="Z86" s="100"/>
      <c r="AA86" s="101"/>
    </row>
    <row r="87" spans="2:27" x14ac:dyDescent="0.25">
      <c r="B87" s="27"/>
      <c r="R87" s="28"/>
      <c r="T87" s="99"/>
      <c r="U87" s="100"/>
      <c r="V87" s="100"/>
      <c r="W87" s="100"/>
      <c r="X87" s="100"/>
      <c r="Y87" s="100"/>
      <c r="Z87" s="100"/>
      <c r="AA87" s="101"/>
    </row>
    <row r="88" spans="2:27" x14ac:dyDescent="0.25">
      <c r="B88" s="27"/>
      <c r="R88" s="28"/>
      <c r="T88" s="99"/>
      <c r="U88" s="100"/>
      <c r="V88" s="100"/>
      <c r="W88" s="100"/>
      <c r="X88" s="100"/>
      <c r="Y88" s="100"/>
      <c r="Z88" s="100"/>
      <c r="AA88" s="101"/>
    </row>
    <row r="89" spans="2:27" x14ac:dyDescent="0.25">
      <c r="B89" s="27"/>
      <c r="R89" s="28"/>
      <c r="T89" s="99"/>
      <c r="U89" s="100"/>
      <c r="V89" s="100"/>
      <c r="W89" s="100"/>
      <c r="X89" s="100"/>
      <c r="Y89" s="100"/>
      <c r="Z89" s="100"/>
      <c r="AA89" s="101"/>
    </row>
    <row r="90" spans="2:27" x14ac:dyDescent="0.25">
      <c r="B90" s="27"/>
      <c r="R90" s="28"/>
      <c r="T90" s="99"/>
      <c r="U90" s="100"/>
      <c r="V90" s="100"/>
      <c r="W90" s="100"/>
      <c r="X90" s="100"/>
      <c r="Y90" s="100"/>
      <c r="Z90" s="100"/>
      <c r="AA90" s="101"/>
    </row>
    <row r="91" spans="2:27" x14ac:dyDescent="0.25">
      <c r="B91" s="27"/>
      <c r="R91" s="28"/>
      <c r="T91" s="99"/>
      <c r="U91" s="100"/>
      <c r="V91" s="100"/>
      <c r="W91" s="100"/>
      <c r="X91" s="100"/>
      <c r="Y91" s="100"/>
      <c r="Z91" s="100"/>
      <c r="AA91" s="101"/>
    </row>
    <row r="92" spans="2:27" x14ac:dyDescent="0.25">
      <c r="B92" s="27"/>
      <c r="R92" s="28"/>
      <c r="T92" s="99"/>
      <c r="U92" s="100"/>
      <c r="V92" s="100"/>
      <c r="W92" s="100"/>
      <c r="X92" s="100"/>
      <c r="Y92" s="100"/>
      <c r="Z92" s="100"/>
      <c r="AA92" s="101"/>
    </row>
    <row r="93" spans="2:27" x14ac:dyDescent="0.25">
      <c r="B93" s="27"/>
      <c r="R93" s="28"/>
      <c r="T93" s="99"/>
      <c r="U93" s="100"/>
      <c r="V93" s="100"/>
      <c r="W93" s="100"/>
      <c r="X93" s="100"/>
      <c r="Y93" s="100"/>
      <c r="Z93" s="100"/>
      <c r="AA93" s="101"/>
    </row>
    <row r="94" spans="2:27" x14ac:dyDescent="0.25">
      <c r="B94" s="27"/>
      <c r="R94" s="28"/>
      <c r="T94" s="99"/>
      <c r="U94" s="100"/>
      <c r="V94" s="100"/>
      <c r="W94" s="100"/>
      <c r="X94" s="100"/>
      <c r="Y94" s="100"/>
      <c r="Z94" s="100"/>
      <c r="AA94" s="101"/>
    </row>
    <row r="95" spans="2:27" x14ac:dyDescent="0.25">
      <c r="B95" s="27"/>
      <c r="R95" s="28"/>
      <c r="T95" s="99"/>
      <c r="U95" s="100"/>
      <c r="V95" s="100"/>
      <c r="W95" s="100"/>
      <c r="X95" s="100"/>
      <c r="Y95" s="100"/>
      <c r="Z95" s="100"/>
      <c r="AA95" s="101"/>
    </row>
    <row r="96" spans="2:27" x14ac:dyDescent="0.25">
      <c r="B96" s="27"/>
      <c r="R96" s="28"/>
      <c r="T96" s="99"/>
      <c r="U96" s="100"/>
      <c r="V96" s="100"/>
      <c r="W96" s="100"/>
      <c r="X96" s="100"/>
      <c r="Y96" s="100"/>
      <c r="Z96" s="100"/>
      <c r="AA96" s="101"/>
    </row>
    <row r="97" spans="2:27" x14ac:dyDescent="0.25">
      <c r="B97" s="27"/>
      <c r="R97" s="28"/>
      <c r="T97" s="99"/>
      <c r="U97" s="100"/>
      <c r="V97" s="100"/>
      <c r="W97" s="100"/>
      <c r="X97" s="100"/>
      <c r="Y97" s="100"/>
      <c r="Z97" s="100"/>
      <c r="AA97" s="101"/>
    </row>
    <row r="98" spans="2:27" x14ac:dyDescent="0.25">
      <c r="B98" s="27"/>
      <c r="R98" s="28"/>
      <c r="T98" s="99"/>
      <c r="U98" s="100"/>
      <c r="V98" s="100"/>
      <c r="W98" s="100"/>
      <c r="X98" s="100"/>
      <c r="Y98" s="100"/>
      <c r="Z98" s="100"/>
      <c r="AA98" s="101"/>
    </row>
    <row r="99" spans="2:27" x14ac:dyDescent="0.25">
      <c r="B99" s="27"/>
      <c r="R99" s="28"/>
      <c r="T99" s="99"/>
      <c r="U99" s="100"/>
      <c r="V99" s="100"/>
      <c r="W99" s="100"/>
      <c r="X99" s="100"/>
      <c r="Y99" s="100"/>
      <c r="Z99" s="100"/>
      <c r="AA99" s="101"/>
    </row>
    <row r="100" spans="2:27" x14ac:dyDescent="0.25">
      <c r="B100" s="27"/>
      <c r="R100" s="28"/>
      <c r="T100" s="99"/>
      <c r="U100" s="100"/>
      <c r="V100" s="100"/>
      <c r="W100" s="100"/>
      <c r="X100" s="100"/>
      <c r="Y100" s="100"/>
      <c r="Z100" s="100"/>
      <c r="AA100" s="101"/>
    </row>
    <row r="101" spans="2:27" x14ac:dyDescent="0.25">
      <c r="B101" s="27"/>
      <c r="R101" s="28"/>
      <c r="T101" s="99"/>
      <c r="U101" s="100"/>
      <c r="V101" s="100"/>
      <c r="W101" s="100"/>
      <c r="X101" s="100"/>
      <c r="Y101" s="100"/>
      <c r="Z101" s="100"/>
      <c r="AA101" s="101"/>
    </row>
    <row r="102" spans="2:27" x14ac:dyDescent="0.25">
      <c r="B102" s="27"/>
      <c r="R102" s="28"/>
      <c r="T102" s="99"/>
      <c r="U102" s="100"/>
      <c r="V102" s="100"/>
      <c r="W102" s="100"/>
      <c r="X102" s="100"/>
      <c r="Y102" s="100"/>
      <c r="Z102" s="100"/>
      <c r="AA102" s="101"/>
    </row>
    <row r="103" spans="2:27" x14ac:dyDescent="0.25">
      <c r="B103" s="27"/>
      <c r="R103" s="28"/>
      <c r="T103" s="99"/>
      <c r="U103" s="100"/>
      <c r="V103" s="100"/>
      <c r="W103" s="100"/>
      <c r="X103" s="100"/>
      <c r="Y103" s="100"/>
      <c r="Z103" s="100"/>
      <c r="AA103" s="101"/>
    </row>
    <row r="104" spans="2:27" x14ac:dyDescent="0.25">
      <c r="B104" s="27"/>
      <c r="C104" t="s">
        <v>128</v>
      </c>
      <c r="R104" s="28"/>
      <c r="T104" s="99"/>
      <c r="U104" s="100"/>
      <c r="V104" s="100"/>
      <c r="W104" s="100"/>
      <c r="X104" s="100"/>
      <c r="Y104" s="100"/>
      <c r="Z104" s="100"/>
      <c r="AA104" s="101"/>
    </row>
    <row r="105" spans="2:27" x14ac:dyDescent="0.25">
      <c r="B105" s="27"/>
      <c r="C105" s="67" t="s">
        <v>83</v>
      </c>
      <c r="D105" t="s">
        <v>129</v>
      </c>
      <c r="R105" s="28"/>
      <c r="T105" s="99"/>
      <c r="U105" s="100"/>
      <c r="V105" s="100"/>
      <c r="W105" s="100"/>
      <c r="X105" s="100"/>
      <c r="Y105" s="100"/>
      <c r="Z105" s="100"/>
      <c r="AA105" s="101"/>
    </row>
    <row r="106" spans="2:27" x14ac:dyDescent="0.25">
      <c r="B106" s="27"/>
      <c r="C106" s="64"/>
      <c r="D106" t="s">
        <v>130</v>
      </c>
      <c r="R106" s="28"/>
      <c r="T106" s="99"/>
      <c r="U106" s="100"/>
      <c r="V106" s="100"/>
      <c r="W106" s="100"/>
      <c r="X106" s="100"/>
      <c r="Y106" s="100"/>
      <c r="Z106" s="100"/>
      <c r="AA106" s="101"/>
    </row>
    <row r="107" spans="2:27" x14ac:dyDescent="0.25">
      <c r="B107" s="27"/>
      <c r="C107" s="23"/>
      <c r="D107" t="s">
        <v>131</v>
      </c>
      <c r="R107" s="28"/>
      <c r="T107" s="99"/>
      <c r="U107" s="100"/>
      <c r="V107" s="100"/>
      <c r="W107" s="100"/>
      <c r="X107" s="100"/>
      <c r="Y107" s="100"/>
      <c r="Z107" s="100"/>
      <c r="AA107" s="101"/>
    </row>
    <row r="108" spans="2:27" x14ac:dyDescent="0.25">
      <c r="B108" s="27"/>
      <c r="C108" s="23"/>
      <c r="D108" t="s">
        <v>132</v>
      </c>
      <c r="R108" s="28"/>
      <c r="T108" s="102"/>
      <c r="U108" s="103"/>
      <c r="V108" s="103"/>
      <c r="W108" s="103"/>
      <c r="X108" s="103"/>
      <c r="Y108" s="103"/>
      <c r="Z108" s="103"/>
      <c r="AA108" s="104"/>
    </row>
    <row r="109" spans="2:27" x14ac:dyDescent="0.25">
      <c r="B109" s="30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2"/>
    </row>
    <row r="110" spans="2:27" x14ac:dyDescent="0.25">
      <c r="B110" s="24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6"/>
      <c r="T110" s="113" t="str">
        <f>T81</f>
        <v>Resolução:</v>
      </c>
      <c r="U110" s="113"/>
      <c r="V110" s="113"/>
      <c r="W110" s="113"/>
      <c r="X110" s="113"/>
      <c r="Y110" s="113"/>
      <c r="Z110" s="113"/>
      <c r="AA110" s="113"/>
    </row>
    <row r="111" spans="2:27" ht="15" customHeight="1" x14ac:dyDescent="0.25">
      <c r="B111" s="27"/>
      <c r="C111" t="s">
        <v>134</v>
      </c>
      <c r="P111" s="34" t="s">
        <v>107</v>
      </c>
      <c r="R111" s="28"/>
      <c r="T111" s="96" t="s">
        <v>139</v>
      </c>
      <c r="U111" s="97"/>
      <c r="V111" s="97"/>
      <c r="W111" s="97"/>
      <c r="X111" s="97"/>
      <c r="Y111" s="97"/>
      <c r="Z111" s="97"/>
      <c r="AA111" s="98"/>
    </row>
    <row r="112" spans="2:27" x14ac:dyDescent="0.25">
      <c r="B112" s="27"/>
      <c r="C112" s="23"/>
      <c r="D112" t="s">
        <v>135</v>
      </c>
      <c r="R112" s="28"/>
      <c r="T112" s="99"/>
      <c r="U112" s="100"/>
      <c r="V112" s="100"/>
      <c r="W112" s="100"/>
      <c r="X112" s="100"/>
      <c r="Y112" s="100"/>
      <c r="Z112" s="100"/>
      <c r="AA112" s="101"/>
    </row>
    <row r="113" spans="2:27" x14ac:dyDescent="0.25">
      <c r="B113" s="27"/>
      <c r="C113" s="23"/>
      <c r="D113" t="s">
        <v>136</v>
      </c>
      <c r="R113" s="28"/>
      <c r="T113" s="99"/>
      <c r="U113" s="100"/>
      <c r="V113" s="100"/>
      <c r="W113" s="100"/>
      <c r="X113" s="100"/>
      <c r="Y113" s="100"/>
      <c r="Z113" s="100"/>
      <c r="AA113" s="101"/>
    </row>
    <row r="114" spans="2:27" x14ac:dyDescent="0.25">
      <c r="B114" s="27"/>
      <c r="C114" s="23"/>
      <c r="D114" t="s">
        <v>137</v>
      </c>
      <c r="R114" s="28"/>
      <c r="T114" s="99"/>
      <c r="U114" s="100"/>
      <c r="V114" s="100"/>
      <c r="W114" s="100"/>
      <c r="X114" s="100"/>
      <c r="Y114" s="100"/>
      <c r="Z114" s="100"/>
      <c r="AA114" s="101"/>
    </row>
    <row r="115" spans="2:27" x14ac:dyDescent="0.25">
      <c r="B115" s="27"/>
      <c r="C115" s="67" t="s">
        <v>83</v>
      </c>
      <c r="D115" t="s">
        <v>138</v>
      </c>
      <c r="R115" s="28"/>
      <c r="T115" s="102"/>
      <c r="U115" s="103"/>
      <c r="V115" s="103"/>
      <c r="W115" s="103"/>
      <c r="X115" s="103"/>
      <c r="Y115" s="103"/>
      <c r="Z115" s="103"/>
      <c r="AA115" s="104"/>
    </row>
    <row r="116" spans="2:27" x14ac:dyDescent="0.25">
      <c r="B116" s="30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2"/>
    </row>
    <row r="117" spans="2:27" x14ac:dyDescent="0.25">
      <c r="B117" s="24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6"/>
      <c r="T117" s="105" t="str">
        <f>T110</f>
        <v>Resolução:</v>
      </c>
      <c r="U117" s="105"/>
      <c r="V117" s="105"/>
      <c r="W117" s="105"/>
      <c r="X117" s="105"/>
      <c r="Y117" s="105"/>
      <c r="Z117" s="105"/>
      <c r="AA117" s="105"/>
    </row>
    <row r="118" spans="2:27" x14ac:dyDescent="0.25">
      <c r="B118" s="27"/>
      <c r="C118" t="s">
        <v>140</v>
      </c>
      <c r="P118" s="34" t="s">
        <v>107</v>
      </c>
      <c r="R118" s="28"/>
      <c r="T118" s="96" t="s">
        <v>145</v>
      </c>
      <c r="U118" s="97"/>
      <c r="V118" s="97"/>
      <c r="W118" s="97"/>
      <c r="X118" s="97"/>
      <c r="Y118" s="97"/>
      <c r="Z118" s="97"/>
      <c r="AA118" s="98"/>
    </row>
    <row r="119" spans="2:27" x14ac:dyDescent="0.25">
      <c r="B119" s="27"/>
      <c r="C119" s="23"/>
      <c r="D119" s="13" t="s">
        <v>141</v>
      </c>
      <c r="R119" s="28"/>
      <c r="T119" s="99"/>
      <c r="U119" s="100"/>
      <c r="V119" s="100"/>
      <c r="W119" s="100"/>
      <c r="X119" s="100"/>
      <c r="Y119" s="100"/>
      <c r="Z119" s="100"/>
      <c r="AA119" s="101"/>
    </row>
    <row r="120" spans="2:27" x14ac:dyDescent="0.25">
      <c r="B120" s="27"/>
      <c r="C120" s="23"/>
      <c r="D120" s="13" t="s">
        <v>142</v>
      </c>
      <c r="R120" s="28"/>
      <c r="T120" s="99"/>
      <c r="U120" s="100"/>
      <c r="V120" s="100"/>
      <c r="W120" s="100"/>
      <c r="X120" s="100"/>
      <c r="Y120" s="100"/>
      <c r="Z120" s="100"/>
      <c r="AA120" s="101"/>
    </row>
    <row r="121" spans="2:27" x14ac:dyDescent="0.25">
      <c r="B121" s="27"/>
      <c r="C121" s="67" t="s">
        <v>83</v>
      </c>
      <c r="D121" s="13" t="s">
        <v>143</v>
      </c>
      <c r="R121" s="28"/>
      <c r="T121" s="99"/>
      <c r="U121" s="100"/>
      <c r="V121" s="100"/>
      <c r="W121" s="100"/>
      <c r="X121" s="100"/>
      <c r="Y121" s="100"/>
      <c r="Z121" s="100"/>
      <c r="AA121" s="101"/>
    </row>
    <row r="122" spans="2:27" x14ac:dyDescent="0.25">
      <c r="B122" s="27"/>
      <c r="C122" s="23"/>
      <c r="D122" s="13" t="s">
        <v>144</v>
      </c>
      <c r="R122" s="28"/>
      <c r="T122" s="102"/>
      <c r="U122" s="103"/>
      <c r="V122" s="103"/>
      <c r="W122" s="103"/>
      <c r="X122" s="103"/>
      <c r="Y122" s="103"/>
      <c r="Z122" s="103"/>
      <c r="AA122" s="104"/>
    </row>
    <row r="123" spans="2:27" x14ac:dyDescent="0.25">
      <c r="B123" s="30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2"/>
    </row>
    <row r="124" spans="2:27" x14ac:dyDescent="0.25">
      <c r="B124" s="106" t="s">
        <v>146</v>
      </c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8"/>
    </row>
    <row r="125" spans="2:27" x14ac:dyDescent="0.25">
      <c r="B125" s="24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6"/>
      <c r="T125" s="95" t="str">
        <f>T117</f>
        <v>Resolução:</v>
      </c>
      <c r="U125" s="95"/>
      <c r="V125" s="95"/>
      <c r="W125" s="95"/>
      <c r="X125" s="95"/>
      <c r="Y125" s="95"/>
      <c r="Z125" s="95"/>
      <c r="AA125" s="95"/>
    </row>
    <row r="126" spans="2:27" x14ac:dyDescent="0.25">
      <c r="B126" s="27"/>
      <c r="C126" s="109" t="s">
        <v>147</v>
      </c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28"/>
      <c r="T126" s="96" t="s">
        <v>159</v>
      </c>
      <c r="U126" s="97"/>
      <c r="V126" s="97"/>
      <c r="W126" s="97"/>
      <c r="X126" s="97"/>
      <c r="Y126" s="97"/>
      <c r="Z126" s="97"/>
      <c r="AA126" s="98"/>
    </row>
    <row r="127" spans="2:27" x14ac:dyDescent="0.25">
      <c r="B127" s="27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28"/>
      <c r="T127" s="99"/>
      <c r="U127" s="100"/>
      <c r="V127" s="100"/>
      <c r="W127" s="100"/>
      <c r="X127" s="100"/>
      <c r="Y127" s="100"/>
      <c r="Z127" s="100"/>
      <c r="AA127" s="101"/>
    </row>
    <row r="128" spans="2:27" x14ac:dyDescent="0.25">
      <c r="B128" s="27"/>
      <c r="R128" s="28"/>
      <c r="T128" s="99"/>
      <c r="U128" s="100"/>
      <c r="V128" s="100"/>
      <c r="W128" s="100"/>
      <c r="X128" s="100"/>
      <c r="Y128" s="100"/>
      <c r="Z128" s="100"/>
      <c r="AA128" s="101"/>
    </row>
    <row r="129" spans="2:27" x14ac:dyDescent="0.25">
      <c r="B129" s="27"/>
      <c r="C129" s="110" t="s">
        <v>149</v>
      </c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28"/>
      <c r="T129" s="99"/>
      <c r="U129" s="100"/>
      <c r="V129" s="100"/>
      <c r="W129" s="100"/>
      <c r="X129" s="100"/>
      <c r="Y129" s="100"/>
      <c r="Z129" s="100"/>
      <c r="AA129" s="101"/>
    </row>
    <row r="130" spans="2:27" x14ac:dyDescent="0.25">
      <c r="B130" s="27"/>
      <c r="R130" s="28"/>
      <c r="T130" s="99"/>
      <c r="U130" s="100"/>
      <c r="V130" s="100"/>
      <c r="W130" s="100"/>
      <c r="X130" s="100"/>
      <c r="Y130" s="100"/>
      <c r="Z130" s="100"/>
      <c r="AA130" s="101"/>
    </row>
    <row r="131" spans="2:27" x14ac:dyDescent="0.25">
      <c r="B131" s="27"/>
      <c r="C131" s="94" t="s">
        <v>148</v>
      </c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28"/>
      <c r="T131" s="99"/>
      <c r="U131" s="100"/>
      <c r="V131" s="100"/>
      <c r="W131" s="100"/>
      <c r="X131" s="100"/>
      <c r="Y131" s="100"/>
      <c r="Z131" s="100"/>
      <c r="AA131" s="101"/>
    </row>
    <row r="132" spans="2:27" x14ac:dyDescent="0.25">
      <c r="B132" s="27"/>
      <c r="C132" s="11"/>
      <c r="D132" t="s">
        <v>150</v>
      </c>
      <c r="R132" s="28"/>
      <c r="T132" s="99"/>
      <c r="U132" s="100"/>
      <c r="V132" s="100"/>
      <c r="W132" s="100"/>
      <c r="X132" s="100"/>
      <c r="Y132" s="100"/>
      <c r="Z132" s="100"/>
      <c r="AA132" s="101"/>
    </row>
    <row r="133" spans="2:27" x14ac:dyDescent="0.25">
      <c r="B133" s="27"/>
      <c r="C133" s="11"/>
      <c r="D133" t="s">
        <v>151</v>
      </c>
      <c r="R133" s="28"/>
      <c r="T133" s="99"/>
      <c r="U133" s="100"/>
      <c r="V133" s="100"/>
      <c r="W133" s="100"/>
      <c r="X133" s="100"/>
      <c r="Y133" s="100"/>
      <c r="Z133" s="100"/>
      <c r="AA133" s="101"/>
    </row>
    <row r="134" spans="2:27" x14ac:dyDescent="0.25">
      <c r="B134" s="27"/>
      <c r="C134" s="11"/>
      <c r="D134" t="s">
        <v>152</v>
      </c>
      <c r="P134" s="34" t="s">
        <v>107</v>
      </c>
      <c r="Q134" s="38" t="s">
        <v>155</v>
      </c>
      <c r="R134" s="28"/>
      <c r="T134" s="99"/>
      <c r="U134" s="100"/>
      <c r="V134" s="100"/>
      <c r="W134" s="100"/>
      <c r="X134" s="100"/>
      <c r="Y134" s="100"/>
      <c r="Z134" s="100"/>
      <c r="AA134" s="101"/>
    </row>
    <row r="135" spans="2:27" x14ac:dyDescent="0.25">
      <c r="B135" s="27"/>
      <c r="C135" s="11"/>
      <c r="D135" t="s">
        <v>153</v>
      </c>
      <c r="R135" s="28"/>
      <c r="T135" s="99"/>
      <c r="U135" s="100"/>
      <c r="V135" s="100"/>
      <c r="W135" s="100"/>
      <c r="X135" s="100"/>
      <c r="Y135" s="100"/>
      <c r="Z135" s="100"/>
      <c r="AA135" s="101"/>
    </row>
    <row r="136" spans="2:27" x14ac:dyDescent="0.25">
      <c r="B136" s="27"/>
      <c r="C136" s="68" t="s">
        <v>83</v>
      </c>
      <c r="D136" t="s">
        <v>154</v>
      </c>
      <c r="R136" s="28"/>
      <c r="T136" s="102"/>
      <c r="U136" s="103"/>
      <c r="V136" s="103"/>
      <c r="W136" s="103"/>
      <c r="X136" s="103"/>
      <c r="Y136" s="103"/>
      <c r="Z136" s="103"/>
      <c r="AA136" s="104"/>
    </row>
    <row r="137" spans="2:27" x14ac:dyDescent="0.25">
      <c r="B137" s="30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2"/>
    </row>
    <row r="138" spans="2:27" x14ac:dyDescent="0.25">
      <c r="B138" s="24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6"/>
      <c r="T138" s="95" t="str">
        <f>T125</f>
        <v>Resolução:</v>
      </c>
      <c r="U138" s="95"/>
      <c r="V138" s="95"/>
      <c r="W138" s="95"/>
      <c r="X138" s="95"/>
      <c r="Y138" s="95"/>
      <c r="Z138" s="95"/>
      <c r="AA138" s="95"/>
    </row>
    <row r="139" spans="2:27" x14ac:dyDescent="0.25">
      <c r="B139" s="27"/>
      <c r="C139" t="s">
        <v>160</v>
      </c>
      <c r="P139" s="34" t="s">
        <v>107</v>
      </c>
      <c r="R139" s="28"/>
      <c r="T139" s="96" t="s">
        <v>161</v>
      </c>
      <c r="U139" s="97"/>
      <c r="V139" s="97"/>
      <c r="W139" s="97"/>
      <c r="X139" s="97"/>
      <c r="Y139" s="97"/>
      <c r="Z139" s="97"/>
      <c r="AA139" s="98"/>
    </row>
    <row r="140" spans="2:27" x14ac:dyDescent="0.25">
      <c r="B140" s="27"/>
      <c r="C140" s="67" t="s">
        <v>83</v>
      </c>
      <c r="D140" s="13">
        <v>22</v>
      </c>
      <c r="R140" s="28"/>
      <c r="T140" s="99"/>
      <c r="U140" s="100"/>
      <c r="V140" s="100"/>
      <c r="W140" s="100"/>
      <c r="X140" s="100"/>
      <c r="Y140" s="100"/>
      <c r="Z140" s="100"/>
      <c r="AA140" s="101"/>
    </row>
    <row r="141" spans="2:27" x14ac:dyDescent="0.25">
      <c r="B141" s="27"/>
      <c r="C141" s="23"/>
      <c r="D141" s="13">
        <v>21</v>
      </c>
      <c r="R141" s="28"/>
      <c r="T141" s="99"/>
      <c r="U141" s="100"/>
      <c r="V141" s="100"/>
      <c r="W141" s="100"/>
      <c r="X141" s="100"/>
      <c r="Y141" s="100"/>
      <c r="Z141" s="100"/>
      <c r="AA141" s="101"/>
    </row>
    <row r="142" spans="2:27" x14ac:dyDescent="0.25">
      <c r="B142" s="27"/>
      <c r="C142" s="23"/>
      <c r="D142" s="13">
        <v>17</v>
      </c>
      <c r="R142" s="28"/>
      <c r="T142" s="99"/>
      <c r="U142" s="100"/>
      <c r="V142" s="100"/>
      <c r="W142" s="100"/>
      <c r="X142" s="100"/>
      <c r="Y142" s="100"/>
      <c r="Z142" s="100"/>
      <c r="AA142" s="101"/>
    </row>
    <row r="143" spans="2:27" x14ac:dyDescent="0.25">
      <c r="B143" s="27"/>
      <c r="C143" s="23"/>
      <c r="D143" s="13">
        <v>19</v>
      </c>
      <c r="R143" s="28"/>
      <c r="T143" s="102"/>
      <c r="U143" s="103"/>
      <c r="V143" s="103"/>
      <c r="W143" s="103"/>
      <c r="X143" s="103"/>
      <c r="Y143" s="103"/>
      <c r="Z143" s="103"/>
      <c r="AA143" s="104"/>
    </row>
    <row r="144" spans="2:27" x14ac:dyDescent="0.25">
      <c r="B144" s="30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2"/>
    </row>
    <row r="145" spans="2:31" x14ac:dyDescent="0.25">
      <c r="B145" s="24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6"/>
      <c r="T145" s="95" t="str">
        <f>T138</f>
        <v>Resolução:</v>
      </c>
      <c r="U145" s="95"/>
      <c r="V145" s="95"/>
      <c r="W145" s="95"/>
      <c r="X145" s="95"/>
      <c r="Y145" s="95"/>
      <c r="Z145" s="95"/>
      <c r="AA145" s="95"/>
    </row>
    <row r="146" spans="2:31" x14ac:dyDescent="0.25">
      <c r="B146" s="27"/>
      <c r="C146" t="s">
        <v>162</v>
      </c>
      <c r="R146" s="28"/>
      <c r="T146" s="86" t="s">
        <v>169</v>
      </c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8"/>
    </row>
    <row r="147" spans="2:31" x14ac:dyDescent="0.25">
      <c r="B147" s="27"/>
      <c r="R147" s="28"/>
      <c r="T147" s="89"/>
      <c r="U147" s="141"/>
      <c r="V147" s="141"/>
      <c r="W147" s="141"/>
      <c r="X147" s="141"/>
      <c r="Y147" s="141"/>
      <c r="Z147" s="141"/>
      <c r="AA147" s="141"/>
      <c r="AB147" s="141"/>
      <c r="AC147" s="141"/>
      <c r="AD147" s="141"/>
      <c r="AE147" s="90"/>
    </row>
    <row r="148" spans="2:31" x14ac:dyDescent="0.25">
      <c r="B148" s="27"/>
      <c r="R148" s="28"/>
      <c r="T148" s="89"/>
      <c r="U148" s="141"/>
      <c r="V148" s="141"/>
      <c r="W148" s="141"/>
      <c r="X148" s="141"/>
      <c r="Y148" s="141"/>
      <c r="Z148" s="141"/>
      <c r="AA148" s="141"/>
      <c r="AB148" s="141"/>
      <c r="AC148" s="141"/>
      <c r="AD148" s="141"/>
      <c r="AE148" s="90"/>
    </row>
    <row r="149" spans="2:31" x14ac:dyDescent="0.25">
      <c r="B149" s="27"/>
      <c r="R149" s="28"/>
      <c r="T149" s="89"/>
      <c r="U149" s="141"/>
      <c r="V149" s="141"/>
      <c r="W149" s="141"/>
      <c r="X149" s="141"/>
      <c r="Y149" s="141"/>
      <c r="Z149" s="141"/>
      <c r="AA149" s="141"/>
      <c r="AB149" s="141"/>
      <c r="AC149" s="141"/>
      <c r="AD149" s="141"/>
      <c r="AE149" s="90"/>
    </row>
    <row r="150" spans="2:31" x14ac:dyDescent="0.25">
      <c r="B150" s="27"/>
      <c r="R150" s="28"/>
      <c r="T150" s="89"/>
      <c r="U150" s="141"/>
      <c r="V150" s="141"/>
      <c r="W150" s="141"/>
      <c r="X150" s="141"/>
      <c r="Y150" s="141"/>
      <c r="Z150" s="141"/>
      <c r="AA150" s="141"/>
      <c r="AB150" s="141"/>
      <c r="AC150" s="141"/>
      <c r="AD150" s="141"/>
      <c r="AE150" s="90"/>
    </row>
    <row r="151" spans="2:31" x14ac:dyDescent="0.25">
      <c r="B151" s="27"/>
      <c r="R151" s="28"/>
      <c r="T151" s="89"/>
      <c r="U151" s="141"/>
      <c r="V151" s="141"/>
      <c r="W151" s="141"/>
      <c r="X151" s="141"/>
      <c r="Y151" s="141"/>
      <c r="Z151" s="141"/>
      <c r="AA151" s="141"/>
      <c r="AB151" s="141"/>
      <c r="AC151" s="141"/>
      <c r="AD151" s="141"/>
      <c r="AE151" s="90"/>
    </row>
    <row r="152" spans="2:31" x14ac:dyDescent="0.25">
      <c r="B152" s="27"/>
      <c r="R152" s="28"/>
      <c r="T152" s="89"/>
      <c r="U152" s="141"/>
      <c r="V152" s="141"/>
      <c r="W152" s="141"/>
      <c r="X152" s="141"/>
      <c r="Y152" s="141"/>
      <c r="Z152" s="141"/>
      <c r="AA152" s="141"/>
      <c r="AB152" s="141"/>
      <c r="AC152" s="141"/>
      <c r="AD152" s="141"/>
      <c r="AE152" s="90"/>
    </row>
    <row r="153" spans="2:31" x14ac:dyDescent="0.25">
      <c r="B153" s="27"/>
      <c r="R153" s="28"/>
      <c r="T153" s="89"/>
      <c r="U153" s="141"/>
      <c r="V153" s="141"/>
      <c r="W153" s="141"/>
      <c r="X153" s="141"/>
      <c r="Y153" s="141"/>
      <c r="Z153" s="141"/>
      <c r="AA153" s="141"/>
      <c r="AB153" s="141"/>
      <c r="AC153" s="141"/>
      <c r="AD153" s="141"/>
      <c r="AE153" s="90"/>
    </row>
    <row r="154" spans="2:31" x14ac:dyDescent="0.25">
      <c r="B154" s="27"/>
      <c r="R154" s="28"/>
      <c r="T154" s="89"/>
      <c r="U154" s="141"/>
      <c r="V154" s="141"/>
      <c r="W154" s="141"/>
      <c r="X154" s="141"/>
      <c r="Y154" s="141"/>
      <c r="Z154" s="141"/>
      <c r="AA154" s="141"/>
      <c r="AB154" s="141"/>
      <c r="AC154" s="141"/>
      <c r="AD154" s="141"/>
      <c r="AE154" s="90"/>
    </row>
    <row r="155" spans="2:31" x14ac:dyDescent="0.25">
      <c r="B155" s="27"/>
      <c r="R155" s="28"/>
      <c r="T155" s="89"/>
      <c r="U155" s="141"/>
      <c r="V155" s="141"/>
      <c r="W155" s="141"/>
      <c r="X155" s="141"/>
      <c r="Y155" s="141"/>
      <c r="Z155" s="141"/>
      <c r="AA155" s="141"/>
      <c r="AB155" s="141"/>
      <c r="AC155" s="141"/>
      <c r="AD155" s="141"/>
      <c r="AE155" s="90"/>
    </row>
    <row r="156" spans="2:31" x14ac:dyDescent="0.25">
      <c r="B156" s="27"/>
      <c r="R156" s="28"/>
      <c r="T156" s="89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90"/>
    </row>
    <row r="157" spans="2:31" x14ac:dyDescent="0.25">
      <c r="B157" s="27"/>
      <c r="R157" s="28"/>
      <c r="T157" s="89"/>
      <c r="U157" s="141"/>
      <c r="V157" s="141"/>
      <c r="W157" s="141"/>
      <c r="X157" s="141"/>
      <c r="Y157" s="141"/>
      <c r="Z157" s="141"/>
      <c r="AA157" s="141"/>
      <c r="AB157" s="141"/>
      <c r="AC157" s="141"/>
      <c r="AD157" s="141"/>
      <c r="AE157" s="90"/>
    </row>
    <row r="158" spans="2:31" x14ac:dyDescent="0.25">
      <c r="B158" s="27"/>
      <c r="R158" s="28"/>
      <c r="T158" s="89"/>
      <c r="U158" s="141"/>
      <c r="V158" s="141"/>
      <c r="W158" s="141"/>
      <c r="X158" s="141"/>
      <c r="Y158" s="141"/>
      <c r="Z158" s="141"/>
      <c r="AA158" s="141"/>
      <c r="AB158" s="141"/>
      <c r="AC158" s="141"/>
      <c r="AD158" s="141"/>
      <c r="AE158" s="90"/>
    </row>
    <row r="159" spans="2:31" x14ac:dyDescent="0.25">
      <c r="B159" s="27"/>
      <c r="R159" s="28"/>
      <c r="T159" s="89"/>
      <c r="U159" s="141"/>
      <c r="V159" s="141"/>
      <c r="W159" s="141"/>
      <c r="X159" s="141"/>
      <c r="Y159" s="141"/>
      <c r="Z159" s="141"/>
      <c r="AA159" s="141"/>
      <c r="AB159" s="141"/>
      <c r="AC159" s="141"/>
      <c r="AD159" s="141"/>
      <c r="AE159" s="90"/>
    </row>
    <row r="160" spans="2:31" x14ac:dyDescent="0.25">
      <c r="B160" s="27"/>
      <c r="R160" s="28"/>
      <c r="T160" s="89"/>
      <c r="U160" s="141"/>
      <c r="V160" s="141"/>
      <c r="W160" s="141"/>
      <c r="X160" s="141"/>
      <c r="Y160" s="141"/>
      <c r="Z160" s="141"/>
      <c r="AA160" s="141"/>
      <c r="AB160" s="141"/>
      <c r="AC160" s="141"/>
      <c r="AD160" s="141"/>
      <c r="AE160" s="90"/>
    </row>
    <row r="161" spans="2:31" x14ac:dyDescent="0.25">
      <c r="B161" s="27"/>
      <c r="R161" s="28"/>
      <c r="T161" s="89"/>
      <c r="U161" s="141"/>
      <c r="V161" s="141"/>
      <c r="W161" s="141"/>
      <c r="X161" s="141"/>
      <c r="Y161" s="141"/>
      <c r="Z161" s="141"/>
      <c r="AA161" s="141"/>
      <c r="AB161" s="141"/>
      <c r="AC161" s="141"/>
      <c r="AD161" s="141"/>
      <c r="AE161" s="90"/>
    </row>
    <row r="162" spans="2:31" x14ac:dyDescent="0.25">
      <c r="B162" s="27"/>
      <c r="C162" s="67" t="s">
        <v>83</v>
      </c>
      <c r="D162" t="s">
        <v>163</v>
      </c>
      <c r="R162" s="28"/>
      <c r="T162" s="89"/>
      <c r="U162" s="141"/>
      <c r="V162" s="141"/>
      <c r="W162" s="141"/>
      <c r="X162" s="141"/>
      <c r="Y162" s="141"/>
      <c r="Z162" s="141"/>
      <c r="AA162" s="141"/>
      <c r="AB162" s="141"/>
      <c r="AC162" s="141"/>
      <c r="AD162" s="141"/>
      <c r="AE162" s="90"/>
    </row>
    <row r="163" spans="2:31" x14ac:dyDescent="0.25">
      <c r="B163" s="27"/>
      <c r="C163" s="23"/>
      <c r="D163" t="s">
        <v>164</v>
      </c>
      <c r="R163" s="28"/>
      <c r="T163" s="89"/>
      <c r="U163" s="141"/>
      <c r="V163" s="141"/>
      <c r="W163" s="141"/>
      <c r="X163" s="141"/>
      <c r="Y163" s="141"/>
      <c r="Z163" s="141"/>
      <c r="AA163" s="141"/>
      <c r="AB163" s="141"/>
      <c r="AC163" s="141"/>
      <c r="AD163" s="141"/>
      <c r="AE163" s="90"/>
    </row>
    <row r="164" spans="2:31" x14ac:dyDescent="0.25">
      <c r="B164" s="27"/>
      <c r="C164" s="23"/>
      <c r="D164" t="s">
        <v>165</v>
      </c>
      <c r="R164" s="28"/>
      <c r="T164" s="89"/>
      <c r="U164" s="141"/>
      <c r="V164" s="141"/>
      <c r="W164" s="141"/>
      <c r="X164" s="141"/>
      <c r="Y164" s="141"/>
      <c r="Z164" s="141"/>
      <c r="AA164" s="141"/>
      <c r="AB164" s="141"/>
      <c r="AC164" s="141"/>
      <c r="AD164" s="141"/>
      <c r="AE164" s="90"/>
    </row>
    <row r="165" spans="2:31" x14ac:dyDescent="0.25">
      <c r="B165" s="27"/>
      <c r="C165" s="23"/>
      <c r="D165" t="s">
        <v>166</v>
      </c>
      <c r="R165" s="28"/>
      <c r="T165" s="89"/>
      <c r="U165" s="141"/>
      <c r="V165" s="141"/>
      <c r="W165" s="141"/>
      <c r="X165" s="141"/>
      <c r="Y165" s="141"/>
      <c r="Z165" s="141"/>
      <c r="AA165" s="141"/>
      <c r="AB165" s="141"/>
      <c r="AC165" s="141"/>
      <c r="AD165" s="141"/>
      <c r="AE165" s="90"/>
    </row>
    <row r="166" spans="2:31" x14ac:dyDescent="0.25">
      <c r="B166" s="27"/>
      <c r="C166" s="23"/>
      <c r="D166" t="s">
        <v>167</v>
      </c>
      <c r="R166" s="28"/>
      <c r="T166" s="91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3"/>
    </row>
    <row r="167" spans="2:31" x14ac:dyDescent="0.25">
      <c r="B167" s="27"/>
      <c r="C167" s="142"/>
      <c r="D167" s="142"/>
      <c r="E167" s="142"/>
      <c r="F167" s="142"/>
      <c r="G167" s="142"/>
      <c r="H167" s="142"/>
      <c r="I167" s="142"/>
      <c r="J167" s="142"/>
      <c r="K167" s="142"/>
      <c r="L167" s="142"/>
      <c r="M167" s="142"/>
      <c r="N167" s="142"/>
      <c r="O167" s="142"/>
      <c r="P167" s="142"/>
      <c r="Q167" s="142"/>
      <c r="R167" s="28"/>
    </row>
    <row r="168" spans="2:31" x14ac:dyDescent="0.25">
      <c r="B168" s="24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6"/>
      <c r="T168" t="str">
        <f>T145</f>
        <v>Resolução:</v>
      </c>
    </row>
    <row r="169" spans="2:31" x14ac:dyDescent="0.25">
      <c r="B169" s="27"/>
      <c r="C169" s="142" t="s">
        <v>170</v>
      </c>
      <c r="D169" s="142"/>
      <c r="E169" s="142"/>
      <c r="F169" s="142"/>
      <c r="G169" s="142"/>
      <c r="H169" s="142"/>
      <c r="I169" s="142"/>
      <c r="J169" s="142"/>
      <c r="K169" s="142"/>
      <c r="L169" s="142"/>
      <c r="M169" s="142"/>
      <c r="N169" s="142"/>
      <c r="O169" s="142"/>
      <c r="P169" s="142"/>
      <c r="Q169" s="142"/>
      <c r="R169" s="28"/>
    </row>
    <row r="170" spans="2:31" x14ac:dyDescent="0.25">
      <c r="B170" s="27"/>
      <c r="C170" s="142"/>
      <c r="D170" s="142"/>
      <c r="E170" s="142"/>
      <c r="F170" s="142"/>
      <c r="G170" s="142"/>
      <c r="H170" s="142"/>
      <c r="I170" s="142"/>
      <c r="J170" s="142"/>
      <c r="K170" s="142"/>
      <c r="L170" s="142"/>
      <c r="M170" s="142"/>
      <c r="N170" s="142"/>
      <c r="O170" s="142"/>
      <c r="P170" s="142"/>
      <c r="Q170" s="142"/>
      <c r="R170" s="28"/>
    </row>
    <row r="171" spans="2:31" x14ac:dyDescent="0.25">
      <c r="B171" s="27"/>
      <c r="C171" s="142" t="s">
        <v>171</v>
      </c>
      <c r="D171" s="142"/>
      <c r="E171" s="142"/>
      <c r="F171" s="142"/>
      <c r="G171" s="142"/>
      <c r="H171" s="142"/>
      <c r="I171" s="142"/>
      <c r="J171" s="142"/>
      <c r="K171" s="142"/>
      <c r="L171" s="142"/>
      <c r="M171" s="142"/>
      <c r="N171" s="142"/>
      <c r="O171" s="142"/>
      <c r="P171" s="142"/>
      <c r="Q171" s="142"/>
      <c r="R171" s="28"/>
    </row>
    <row r="172" spans="2:31" x14ac:dyDescent="0.25">
      <c r="B172" s="27"/>
      <c r="C172" s="142"/>
      <c r="D172" s="142"/>
      <c r="E172" s="142"/>
      <c r="F172" s="142"/>
      <c r="G172" s="142"/>
      <c r="H172" s="142"/>
      <c r="I172" s="142"/>
      <c r="J172" s="142"/>
      <c r="K172" s="142"/>
      <c r="L172" s="142"/>
      <c r="M172" s="142"/>
      <c r="N172" s="142"/>
      <c r="O172" s="142"/>
      <c r="P172" s="142"/>
      <c r="Q172" s="142"/>
      <c r="R172" s="28"/>
    </row>
    <row r="173" spans="2:31" x14ac:dyDescent="0.25">
      <c r="B173" s="27"/>
      <c r="C173" s="142"/>
      <c r="D173" s="142"/>
      <c r="E173" s="142"/>
      <c r="F173" s="142"/>
      <c r="G173" s="142"/>
      <c r="H173" s="142"/>
      <c r="I173" s="142"/>
      <c r="J173" s="142"/>
      <c r="K173" s="142"/>
      <c r="L173" s="142"/>
      <c r="M173" s="142"/>
      <c r="N173" s="142"/>
      <c r="O173" s="142"/>
      <c r="P173" s="142"/>
      <c r="Q173" s="142"/>
      <c r="R173" s="28"/>
    </row>
    <row r="174" spans="2:31" x14ac:dyDescent="0.25">
      <c r="B174" s="27"/>
      <c r="C174" s="142"/>
      <c r="D174" s="142"/>
      <c r="E174" s="142"/>
      <c r="F174" s="142"/>
      <c r="G174" s="142"/>
      <c r="H174" s="142"/>
      <c r="I174" s="142"/>
      <c r="J174" s="142"/>
      <c r="K174" s="142"/>
      <c r="L174" s="142"/>
      <c r="M174" s="142"/>
      <c r="N174" s="142"/>
      <c r="O174" s="142"/>
      <c r="P174" s="34" t="s">
        <v>107</v>
      </c>
      <c r="Q174" s="142" t="s">
        <v>172</v>
      </c>
      <c r="R174" s="28"/>
    </row>
    <row r="175" spans="2:31" x14ac:dyDescent="0.25">
      <c r="B175" s="27"/>
      <c r="C175" s="142"/>
      <c r="D175" s="142"/>
      <c r="E175" s="142"/>
      <c r="F175" s="142"/>
      <c r="G175" s="142"/>
      <c r="H175" s="142"/>
      <c r="I175" s="142"/>
      <c r="J175" s="142"/>
      <c r="K175" s="142"/>
      <c r="L175" s="142"/>
      <c r="M175" s="142"/>
      <c r="N175" s="142"/>
      <c r="O175" s="142"/>
      <c r="P175" s="142"/>
      <c r="Q175" s="142"/>
      <c r="R175" s="28"/>
    </row>
    <row r="176" spans="2:31" x14ac:dyDescent="0.25">
      <c r="B176" s="27"/>
      <c r="C176" s="142"/>
      <c r="D176" s="142"/>
      <c r="E176" s="142"/>
      <c r="F176" s="142"/>
      <c r="G176" s="142"/>
      <c r="H176" s="142"/>
      <c r="I176" s="142"/>
      <c r="J176" s="142"/>
      <c r="K176" s="142"/>
      <c r="L176" s="142"/>
      <c r="M176" s="142"/>
      <c r="N176" s="142"/>
      <c r="O176" s="142"/>
      <c r="P176" s="142"/>
      <c r="Q176" s="142"/>
      <c r="R176" s="28"/>
    </row>
    <row r="177" spans="2:18" x14ac:dyDescent="0.25">
      <c r="B177" s="27"/>
      <c r="C177" s="142"/>
      <c r="D177" s="142"/>
      <c r="E177" s="142"/>
      <c r="F177" s="142"/>
      <c r="G177" s="142"/>
      <c r="H177" s="142"/>
      <c r="I177" s="142"/>
      <c r="J177" s="142"/>
      <c r="K177" s="142"/>
      <c r="L177" s="142"/>
      <c r="M177" s="142"/>
      <c r="N177" s="142"/>
      <c r="O177" s="142"/>
      <c r="P177" s="23"/>
      <c r="Q177" s="142" t="s">
        <v>173</v>
      </c>
      <c r="R177" s="28"/>
    </row>
    <row r="178" spans="2:18" x14ac:dyDescent="0.25">
      <c r="B178" s="27"/>
      <c r="C178" s="142"/>
      <c r="D178" s="142"/>
      <c r="E178" s="142"/>
      <c r="F178" s="142"/>
      <c r="G178" s="142"/>
      <c r="H178" s="142"/>
      <c r="I178" s="142"/>
      <c r="J178" s="142"/>
      <c r="K178" s="142"/>
      <c r="L178" s="142"/>
      <c r="M178" s="142"/>
      <c r="N178" s="142"/>
      <c r="O178" s="142"/>
      <c r="P178" s="23"/>
      <c r="Q178" s="142" t="s">
        <v>174</v>
      </c>
      <c r="R178" s="28"/>
    </row>
    <row r="179" spans="2:18" x14ac:dyDescent="0.25">
      <c r="B179" s="27"/>
      <c r="C179" s="142"/>
      <c r="D179" s="142"/>
      <c r="E179" s="142"/>
      <c r="F179" s="142"/>
      <c r="G179" s="142"/>
      <c r="H179" s="142"/>
      <c r="I179" s="142"/>
      <c r="J179" s="142"/>
      <c r="K179" s="142"/>
      <c r="L179" s="142"/>
      <c r="M179" s="142"/>
      <c r="N179" s="142"/>
      <c r="O179" s="142"/>
      <c r="P179" s="23"/>
      <c r="Q179" s="142" t="s">
        <v>175</v>
      </c>
      <c r="R179" s="28"/>
    </row>
    <row r="180" spans="2:18" x14ac:dyDescent="0.25">
      <c r="B180" s="27"/>
      <c r="C180" s="142"/>
      <c r="D180" s="142"/>
      <c r="E180" s="142"/>
      <c r="F180" s="142"/>
      <c r="G180" s="142"/>
      <c r="H180" s="142"/>
      <c r="I180" s="142"/>
      <c r="J180" s="142"/>
      <c r="K180" s="142"/>
      <c r="L180" s="142"/>
      <c r="M180" s="142"/>
      <c r="N180" s="142"/>
      <c r="O180" s="142"/>
      <c r="P180" s="67" t="s">
        <v>83</v>
      </c>
      <c r="Q180" s="142" t="s">
        <v>176</v>
      </c>
      <c r="R180" s="28"/>
    </row>
    <row r="181" spans="2:18" x14ac:dyDescent="0.25">
      <c r="B181" s="27"/>
      <c r="C181" s="142"/>
      <c r="D181" s="142"/>
      <c r="E181" s="142"/>
      <c r="F181" s="142"/>
      <c r="G181" s="142"/>
      <c r="H181" s="142"/>
      <c r="I181" s="142"/>
      <c r="J181" s="142"/>
      <c r="K181" s="142"/>
      <c r="L181" s="142"/>
      <c r="M181" s="142"/>
      <c r="N181" s="142"/>
      <c r="O181" s="142"/>
      <c r="P181" s="142"/>
      <c r="R181" s="28"/>
    </row>
    <row r="182" spans="2:18" x14ac:dyDescent="0.25">
      <c r="B182" s="27"/>
      <c r="C182" s="142"/>
      <c r="D182" s="142"/>
      <c r="E182" s="142"/>
      <c r="F182" s="142"/>
      <c r="G182" s="142"/>
      <c r="H182" s="142"/>
      <c r="I182" s="142"/>
      <c r="J182" s="142"/>
      <c r="K182" s="142"/>
      <c r="L182" s="142"/>
      <c r="M182" s="142"/>
      <c r="N182" s="142"/>
      <c r="O182" s="142"/>
      <c r="P182" s="142"/>
      <c r="Q182" s="142"/>
      <c r="R182" s="28"/>
    </row>
    <row r="183" spans="2:18" x14ac:dyDescent="0.25">
      <c r="B183" s="27"/>
      <c r="C183" s="142"/>
      <c r="D183" s="142"/>
      <c r="E183" s="142"/>
      <c r="F183" s="142"/>
      <c r="G183" s="142"/>
      <c r="H183" s="142"/>
      <c r="I183" s="142"/>
      <c r="J183" s="142"/>
      <c r="K183" s="142"/>
      <c r="L183" s="142"/>
      <c r="M183" s="142"/>
      <c r="N183" s="142"/>
      <c r="O183" s="142"/>
      <c r="P183" s="142"/>
      <c r="Q183" s="142"/>
      <c r="R183" s="28"/>
    </row>
    <row r="184" spans="2:18" x14ac:dyDescent="0.25">
      <c r="B184" s="27"/>
      <c r="C184" s="142"/>
      <c r="D184" s="142"/>
      <c r="E184" s="142"/>
      <c r="F184" s="142"/>
      <c r="G184" s="142"/>
      <c r="H184" s="142"/>
      <c r="I184" s="142"/>
      <c r="J184" s="142"/>
      <c r="K184" s="142"/>
      <c r="L184" s="142"/>
      <c r="M184" s="142"/>
      <c r="N184" s="142"/>
      <c r="O184" s="142"/>
      <c r="P184" s="142"/>
      <c r="Q184" s="142"/>
      <c r="R184" s="28"/>
    </row>
    <row r="185" spans="2:18" x14ac:dyDescent="0.25">
      <c r="B185" s="27"/>
      <c r="C185" s="142"/>
      <c r="D185" s="142"/>
      <c r="E185" s="142"/>
      <c r="F185" s="142"/>
      <c r="G185" s="142"/>
      <c r="H185" s="142"/>
      <c r="I185" s="142"/>
      <c r="J185" s="142"/>
      <c r="K185" s="142"/>
      <c r="L185" s="142"/>
      <c r="M185" s="142"/>
      <c r="N185" s="142"/>
      <c r="O185" s="142"/>
      <c r="P185" s="142"/>
      <c r="Q185" s="142"/>
      <c r="R185" s="28"/>
    </row>
    <row r="186" spans="2:18" x14ac:dyDescent="0.25">
      <c r="B186" s="27"/>
      <c r="C186" s="142"/>
      <c r="D186" s="142"/>
      <c r="E186" s="142"/>
      <c r="F186" s="142"/>
      <c r="G186" s="142"/>
      <c r="H186" s="142"/>
      <c r="I186" s="142"/>
      <c r="J186" s="142"/>
      <c r="K186" s="142"/>
      <c r="L186" s="142"/>
      <c r="M186" s="142"/>
      <c r="N186" s="142"/>
      <c r="O186" s="142"/>
      <c r="P186" s="142"/>
      <c r="Q186" s="142"/>
      <c r="R186" s="28"/>
    </row>
    <row r="187" spans="2:18" x14ac:dyDescent="0.25">
      <c r="B187" s="27"/>
      <c r="C187" s="142"/>
      <c r="D187" s="142"/>
      <c r="E187" s="142"/>
      <c r="F187" s="142"/>
      <c r="G187" s="142"/>
      <c r="H187" s="142"/>
      <c r="I187" s="142"/>
      <c r="J187" s="142"/>
      <c r="K187" s="142"/>
      <c r="L187" s="142"/>
      <c r="M187" s="142"/>
      <c r="N187" s="142"/>
      <c r="O187" s="142"/>
      <c r="P187" s="142"/>
      <c r="Q187" s="142"/>
      <c r="R187" s="28"/>
    </row>
    <row r="188" spans="2:18" x14ac:dyDescent="0.25">
      <c r="B188" s="27"/>
      <c r="C188" s="142"/>
      <c r="D188" s="142"/>
      <c r="E188" s="142"/>
      <c r="F188" s="142"/>
      <c r="G188" s="142"/>
      <c r="H188" s="142"/>
      <c r="I188" s="142"/>
      <c r="J188" s="142"/>
      <c r="K188" s="142"/>
      <c r="L188" s="142"/>
      <c r="M188" s="142"/>
      <c r="N188" s="142"/>
      <c r="O188" s="142"/>
      <c r="P188" s="142"/>
      <c r="Q188" s="142"/>
      <c r="R188" s="28"/>
    </row>
    <row r="189" spans="2:18" x14ac:dyDescent="0.25">
      <c r="B189" s="27"/>
      <c r="C189" s="142"/>
      <c r="D189" s="142"/>
      <c r="E189" s="142"/>
      <c r="F189" s="142"/>
      <c r="G189" s="142"/>
      <c r="H189" s="142"/>
      <c r="I189" s="142"/>
      <c r="J189" s="142"/>
      <c r="K189" s="142"/>
      <c r="L189" s="142"/>
      <c r="M189" s="142"/>
      <c r="N189" s="142"/>
      <c r="O189" s="142"/>
      <c r="P189" s="142"/>
      <c r="Q189" s="142"/>
      <c r="R189" s="28"/>
    </row>
    <row r="190" spans="2:18" x14ac:dyDescent="0.25">
      <c r="B190" s="27"/>
      <c r="C190" s="142"/>
      <c r="D190" s="142"/>
      <c r="E190" s="142"/>
      <c r="F190" s="142"/>
      <c r="G190" s="142"/>
      <c r="H190" s="142"/>
      <c r="I190" s="142"/>
      <c r="J190" s="142"/>
      <c r="K190" s="142"/>
      <c r="L190" s="142"/>
      <c r="M190" s="142"/>
      <c r="N190" s="142"/>
      <c r="O190" s="142"/>
      <c r="P190" s="142"/>
      <c r="Q190" s="142"/>
      <c r="R190" s="28"/>
    </row>
    <row r="191" spans="2:18" x14ac:dyDescent="0.25">
      <c r="B191" s="27"/>
      <c r="C191" s="142"/>
      <c r="D191" s="142"/>
      <c r="E191" s="142"/>
      <c r="F191" s="142"/>
      <c r="G191" s="142"/>
      <c r="H191" s="142"/>
      <c r="I191" s="142"/>
      <c r="J191" s="142"/>
      <c r="K191" s="142"/>
      <c r="L191" s="142"/>
      <c r="M191" s="142"/>
      <c r="N191" s="142"/>
      <c r="O191" s="142"/>
      <c r="P191" s="142"/>
      <c r="Q191" s="142"/>
      <c r="R191" s="28"/>
    </row>
    <row r="192" spans="2:18" x14ac:dyDescent="0.25">
      <c r="B192" s="27"/>
      <c r="C192" s="142"/>
      <c r="D192" s="142"/>
      <c r="E192" s="142"/>
      <c r="F192" s="142"/>
      <c r="G192" s="142"/>
      <c r="H192" s="142"/>
      <c r="I192" s="142"/>
      <c r="J192" s="142"/>
      <c r="K192" s="142"/>
      <c r="L192" s="142"/>
      <c r="M192" s="142"/>
      <c r="N192" s="142"/>
      <c r="O192" s="142"/>
      <c r="P192" s="142"/>
      <c r="Q192" s="142"/>
      <c r="R192" s="28"/>
    </row>
    <row r="193" spans="2:18" x14ac:dyDescent="0.25">
      <c r="B193" s="27"/>
      <c r="C193" s="142"/>
      <c r="D193" s="142"/>
      <c r="E193" s="142"/>
      <c r="F193" s="142"/>
      <c r="G193" s="142"/>
      <c r="H193" s="142"/>
      <c r="I193" s="142"/>
      <c r="J193" s="142"/>
      <c r="K193" s="142"/>
      <c r="L193" s="142"/>
      <c r="M193" s="142"/>
      <c r="N193" s="142"/>
      <c r="O193" s="142"/>
      <c r="P193" s="142"/>
      <c r="Q193" s="142"/>
      <c r="R193" s="28"/>
    </row>
    <row r="194" spans="2:18" x14ac:dyDescent="0.25">
      <c r="B194" s="27"/>
      <c r="C194" s="142"/>
      <c r="D194" s="142"/>
      <c r="E194" s="142"/>
      <c r="F194" s="142"/>
      <c r="G194" s="142"/>
      <c r="H194" s="142"/>
      <c r="I194" s="142"/>
      <c r="J194" s="142"/>
      <c r="K194" s="142"/>
      <c r="L194" s="142"/>
      <c r="M194" s="142"/>
      <c r="N194" s="142"/>
      <c r="O194" s="142"/>
      <c r="P194" s="142"/>
      <c r="Q194" s="142"/>
      <c r="R194" s="28"/>
    </row>
    <row r="195" spans="2:18" x14ac:dyDescent="0.25">
      <c r="B195" s="27"/>
      <c r="C195" s="142"/>
      <c r="D195" s="142"/>
      <c r="E195" s="142"/>
      <c r="F195" s="142"/>
      <c r="G195" s="142"/>
      <c r="H195" s="142"/>
      <c r="I195" s="142"/>
      <c r="J195" s="142"/>
      <c r="K195" s="142"/>
      <c r="L195" s="142"/>
      <c r="M195" s="142"/>
      <c r="N195" s="142"/>
      <c r="O195" s="142"/>
      <c r="P195" s="142"/>
      <c r="Q195" s="142"/>
      <c r="R195" s="28"/>
    </row>
    <row r="196" spans="2:18" x14ac:dyDescent="0.25">
      <c r="B196" s="27"/>
      <c r="C196" s="142"/>
      <c r="D196" s="142"/>
      <c r="E196" s="142"/>
      <c r="F196" s="142"/>
      <c r="G196" s="142"/>
      <c r="H196" s="142"/>
      <c r="I196" s="142"/>
      <c r="J196" s="142"/>
      <c r="K196" s="142"/>
      <c r="L196" s="142"/>
      <c r="M196" s="142"/>
      <c r="N196" s="142"/>
      <c r="O196" s="142"/>
      <c r="P196" s="142"/>
      <c r="Q196" s="142"/>
      <c r="R196" s="28"/>
    </row>
    <row r="197" spans="2:18" x14ac:dyDescent="0.25">
      <c r="B197" s="27"/>
      <c r="C197" s="142"/>
      <c r="D197" s="142"/>
      <c r="E197" s="142"/>
      <c r="F197" s="142"/>
      <c r="G197" s="142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28"/>
    </row>
    <row r="198" spans="2:18" x14ac:dyDescent="0.25">
      <c r="B198" s="27"/>
      <c r="C198" s="142"/>
      <c r="D198" s="142"/>
      <c r="E198" s="142"/>
      <c r="F198" s="142"/>
      <c r="G198" s="142"/>
      <c r="H198" s="142"/>
      <c r="I198" s="142"/>
      <c r="J198" s="142"/>
      <c r="K198" s="142"/>
      <c r="L198" s="142"/>
      <c r="M198" s="142"/>
      <c r="N198" s="142"/>
      <c r="O198" s="142"/>
      <c r="P198" s="142"/>
      <c r="Q198" s="142"/>
      <c r="R198" s="28"/>
    </row>
    <row r="199" spans="2:18" x14ac:dyDescent="0.25">
      <c r="B199" s="27"/>
      <c r="C199" s="142"/>
      <c r="D199" s="142"/>
      <c r="E199" s="142"/>
      <c r="F199" s="142"/>
      <c r="G199" s="142"/>
      <c r="H199" s="142"/>
      <c r="I199" s="142"/>
      <c r="J199" s="142"/>
      <c r="K199" s="142"/>
      <c r="L199" s="142"/>
      <c r="M199" s="142"/>
      <c r="N199" s="142"/>
      <c r="O199" s="142"/>
      <c r="P199" s="142"/>
      <c r="Q199" s="142"/>
      <c r="R199" s="28"/>
    </row>
    <row r="200" spans="2:18" x14ac:dyDescent="0.25">
      <c r="B200" s="27"/>
      <c r="C200" s="142"/>
      <c r="D200" s="142"/>
      <c r="E200" s="142"/>
      <c r="F200" s="142"/>
      <c r="G200" s="142"/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  <c r="R200" s="28"/>
    </row>
    <row r="201" spans="2:18" x14ac:dyDescent="0.25">
      <c r="B201" s="27"/>
      <c r="C201" s="142"/>
      <c r="D201" s="142"/>
      <c r="E201" s="142"/>
      <c r="F201" s="142"/>
      <c r="G201" s="142"/>
      <c r="H201" s="142"/>
      <c r="I201" s="142"/>
      <c r="J201" s="142"/>
      <c r="K201" s="142"/>
      <c r="L201" s="142"/>
      <c r="M201" s="142"/>
      <c r="N201" s="142"/>
      <c r="O201" s="142"/>
      <c r="P201" s="142"/>
      <c r="Q201" s="142"/>
      <c r="R201" s="28"/>
    </row>
    <row r="202" spans="2:18" x14ac:dyDescent="0.25">
      <c r="B202" s="27"/>
      <c r="C202" s="142"/>
      <c r="D202" s="142"/>
      <c r="E202" s="142"/>
      <c r="F202" s="142"/>
      <c r="G202" s="142"/>
      <c r="H202" s="142"/>
      <c r="I202" s="142"/>
      <c r="J202" s="142"/>
      <c r="K202" s="142"/>
      <c r="L202" s="142"/>
      <c r="M202" s="142"/>
      <c r="N202" s="142"/>
      <c r="O202" s="142"/>
      <c r="P202" s="142"/>
      <c r="Q202" s="142"/>
      <c r="R202" s="28"/>
    </row>
    <row r="203" spans="2:18" x14ac:dyDescent="0.25">
      <c r="B203" s="27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28"/>
    </row>
    <row r="204" spans="2:18" x14ac:dyDescent="0.25">
      <c r="B204" s="27"/>
      <c r="C204" s="142"/>
      <c r="D204" s="142"/>
      <c r="E204" s="142"/>
      <c r="F204" s="142"/>
      <c r="G204" s="142"/>
      <c r="H204" s="142"/>
      <c r="I204" s="142"/>
      <c r="J204" s="142"/>
      <c r="K204" s="142"/>
      <c r="L204" s="142"/>
      <c r="M204" s="142"/>
      <c r="N204" s="142"/>
      <c r="O204" s="142"/>
      <c r="P204" s="142"/>
      <c r="Q204" s="142"/>
      <c r="R204" s="28"/>
    </row>
    <row r="205" spans="2:18" x14ac:dyDescent="0.25">
      <c r="B205" s="27"/>
      <c r="C205" s="142"/>
      <c r="D205" s="142"/>
      <c r="E205" s="142"/>
      <c r="F205" s="142"/>
      <c r="G205" s="142"/>
      <c r="H205" s="142"/>
      <c r="I205" s="142"/>
      <c r="J205" s="142"/>
      <c r="K205" s="142"/>
      <c r="L205" s="142"/>
      <c r="M205" s="142"/>
      <c r="N205" s="142"/>
      <c r="O205" s="142"/>
      <c r="P205" s="142"/>
      <c r="Q205" s="142"/>
      <c r="R205" s="28"/>
    </row>
    <row r="206" spans="2:18" x14ac:dyDescent="0.25">
      <c r="B206" s="27"/>
      <c r="C206" s="142"/>
      <c r="D206" s="142"/>
      <c r="E206" s="142"/>
      <c r="F206" s="142"/>
      <c r="G206" s="142"/>
      <c r="H206" s="142"/>
      <c r="I206" s="142"/>
      <c r="J206" s="142"/>
      <c r="K206" s="142"/>
      <c r="L206" s="142"/>
      <c r="M206" s="142"/>
      <c r="N206" s="142"/>
      <c r="O206" s="142"/>
      <c r="P206" s="142"/>
      <c r="Q206" s="142"/>
      <c r="R206" s="28"/>
    </row>
    <row r="207" spans="2:18" x14ac:dyDescent="0.25">
      <c r="B207" s="27"/>
      <c r="C207" s="142"/>
      <c r="D207" s="142"/>
      <c r="E207" s="142"/>
      <c r="F207" s="142"/>
      <c r="G207" s="142"/>
      <c r="H207" s="142"/>
      <c r="I207" s="142"/>
      <c r="J207" s="142"/>
      <c r="K207" s="142"/>
      <c r="L207" s="142"/>
      <c r="M207" s="142"/>
      <c r="N207" s="142"/>
      <c r="O207" s="142"/>
      <c r="P207" s="142"/>
      <c r="Q207" s="142"/>
      <c r="R207" s="28"/>
    </row>
    <row r="208" spans="2:18" x14ac:dyDescent="0.25">
      <c r="B208" s="27"/>
      <c r="C208" s="142"/>
      <c r="D208" s="142"/>
      <c r="E208" s="142"/>
      <c r="F208" s="142"/>
      <c r="G208" s="142"/>
      <c r="H208" s="142"/>
      <c r="I208" s="142"/>
      <c r="J208" s="142"/>
      <c r="K208" s="142"/>
      <c r="L208" s="142"/>
      <c r="M208" s="142"/>
      <c r="N208" s="142"/>
      <c r="O208" s="142"/>
      <c r="P208" s="142"/>
      <c r="Q208" s="142"/>
      <c r="R208" s="28"/>
    </row>
    <row r="209" spans="2:18" x14ac:dyDescent="0.25">
      <c r="B209" s="27"/>
      <c r="C209" s="142"/>
      <c r="D209" s="142"/>
      <c r="E209" s="142"/>
      <c r="F209" s="142"/>
      <c r="G209" s="142"/>
      <c r="H209" s="142"/>
      <c r="I209" s="142"/>
      <c r="J209" s="142"/>
      <c r="K209" s="142"/>
      <c r="L209" s="142"/>
      <c r="M209" s="142"/>
      <c r="N209" s="142"/>
      <c r="O209" s="142"/>
      <c r="P209" s="142"/>
      <c r="Q209" s="142"/>
      <c r="R209" s="28"/>
    </row>
    <row r="210" spans="2:18" x14ac:dyDescent="0.25">
      <c r="B210" s="27"/>
      <c r="C210" s="142"/>
      <c r="D210" s="142"/>
      <c r="E210" s="142"/>
      <c r="F210" s="142"/>
      <c r="G210" s="142"/>
      <c r="H210" s="142"/>
      <c r="I210" s="142"/>
      <c r="J210" s="142"/>
      <c r="K210" s="142"/>
      <c r="L210" s="142"/>
      <c r="M210" s="142"/>
      <c r="N210" s="142"/>
      <c r="O210" s="142"/>
      <c r="P210" s="142"/>
      <c r="Q210" s="142"/>
      <c r="R210" s="28"/>
    </row>
    <row r="211" spans="2:18" x14ac:dyDescent="0.25">
      <c r="B211" s="27"/>
      <c r="C211" s="142"/>
      <c r="D211" s="142"/>
      <c r="E211" s="142"/>
      <c r="F211" s="142"/>
      <c r="G211" s="142"/>
      <c r="H211" s="142"/>
      <c r="I211" s="142"/>
      <c r="J211" s="142"/>
      <c r="K211" s="142"/>
      <c r="L211" s="142"/>
      <c r="M211" s="142"/>
      <c r="N211" s="142"/>
      <c r="O211" s="142"/>
      <c r="P211" s="142"/>
      <c r="Q211" s="142"/>
      <c r="R211" s="28"/>
    </row>
    <row r="212" spans="2:18" x14ac:dyDescent="0.25">
      <c r="B212" s="27"/>
      <c r="C212" s="142"/>
      <c r="D212" s="142"/>
      <c r="E212" s="142"/>
      <c r="F212" s="142"/>
      <c r="G212" s="142"/>
      <c r="H212" s="142"/>
      <c r="I212" s="142"/>
      <c r="J212" s="142"/>
      <c r="K212" s="142"/>
      <c r="L212" s="142"/>
      <c r="M212" s="142"/>
      <c r="N212" s="142"/>
      <c r="O212" s="142"/>
      <c r="P212" s="142"/>
      <c r="Q212" s="142"/>
      <c r="R212" s="28"/>
    </row>
    <row r="213" spans="2:18" x14ac:dyDescent="0.25">
      <c r="B213" s="27"/>
      <c r="C213" s="142"/>
      <c r="D213" s="142"/>
      <c r="E213" s="142"/>
      <c r="F213" s="142"/>
      <c r="G213" s="142"/>
      <c r="H213" s="142"/>
      <c r="I213" s="142"/>
      <c r="J213" s="142"/>
      <c r="K213" s="142"/>
      <c r="L213" s="142"/>
      <c r="M213" s="142"/>
      <c r="N213" s="142"/>
      <c r="O213" s="142"/>
      <c r="P213" s="142"/>
      <c r="Q213" s="142"/>
      <c r="R213" s="28"/>
    </row>
    <row r="214" spans="2:18" x14ac:dyDescent="0.25">
      <c r="B214" s="27"/>
      <c r="C214" s="142"/>
      <c r="D214" s="142"/>
      <c r="E214" s="142"/>
      <c r="F214" s="142"/>
      <c r="G214" s="142"/>
      <c r="H214" s="142"/>
      <c r="I214" s="142"/>
      <c r="J214" s="142"/>
      <c r="K214" s="142"/>
      <c r="L214" s="142"/>
      <c r="M214" s="142"/>
      <c r="N214" s="142"/>
      <c r="O214" s="142"/>
      <c r="P214" s="142"/>
      <c r="Q214" s="142"/>
      <c r="R214" s="28"/>
    </row>
    <row r="215" spans="2:18" x14ac:dyDescent="0.25">
      <c r="B215" s="27"/>
      <c r="C215" s="142"/>
      <c r="D215" s="142"/>
      <c r="E215" s="142"/>
      <c r="F215" s="142"/>
      <c r="G215" s="142"/>
      <c r="H215" s="142"/>
      <c r="I215" s="142"/>
      <c r="J215" s="142"/>
      <c r="K215" s="142"/>
      <c r="L215" s="142"/>
      <c r="M215" s="142"/>
      <c r="N215" s="142"/>
      <c r="O215" s="142"/>
      <c r="P215" s="142"/>
      <c r="Q215" s="142"/>
      <c r="R215" s="28"/>
    </row>
    <row r="216" spans="2:18" x14ac:dyDescent="0.25">
      <c r="B216" s="27"/>
      <c r="C216" s="142"/>
      <c r="D216" s="142"/>
      <c r="E216" s="142"/>
      <c r="F216" s="142"/>
      <c r="G216" s="142"/>
      <c r="H216" s="142"/>
      <c r="I216" s="142"/>
      <c r="J216" s="142"/>
      <c r="K216" s="142"/>
      <c r="L216" s="142"/>
      <c r="M216" s="142"/>
      <c r="N216" s="142"/>
      <c r="O216" s="142"/>
      <c r="P216" s="142"/>
      <c r="Q216" s="142"/>
      <c r="R216" s="28"/>
    </row>
    <row r="217" spans="2:18" x14ac:dyDescent="0.25">
      <c r="B217" s="27"/>
      <c r="C217" s="142"/>
      <c r="D217" s="142"/>
      <c r="E217" s="142"/>
      <c r="F217" s="142"/>
      <c r="G217" s="142"/>
      <c r="H217" s="142"/>
      <c r="I217" s="142"/>
      <c r="J217" s="142"/>
      <c r="K217" s="142"/>
      <c r="L217" s="142"/>
      <c r="M217" s="142"/>
      <c r="N217" s="142"/>
      <c r="O217" s="142"/>
      <c r="P217" s="142"/>
      <c r="Q217" s="142"/>
      <c r="R217" s="28"/>
    </row>
    <row r="218" spans="2:18" x14ac:dyDescent="0.25">
      <c r="B218" s="27"/>
      <c r="C218" s="142"/>
      <c r="D218" s="142"/>
      <c r="E218" s="142"/>
      <c r="F218" s="142"/>
      <c r="G218" s="142"/>
      <c r="H218" s="142"/>
      <c r="I218" s="142"/>
      <c r="J218" s="142"/>
      <c r="K218" s="142"/>
      <c r="L218" s="142"/>
      <c r="M218" s="142"/>
      <c r="N218" s="142"/>
      <c r="O218" s="142"/>
      <c r="P218" s="142"/>
      <c r="Q218" s="142"/>
      <c r="R218" s="28"/>
    </row>
    <row r="219" spans="2:18" x14ac:dyDescent="0.25">
      <c r="B219" s="27"/>
      <c r="C219" s="142"/>
      <c r="D219" s="142"/>
      <c r="E219" s="142"/>
      <c r="F219" s="142"/>
      <c r="G219" s="142"/>
      <c r="H219" s="142"/>
      <c r="I219" s="142"/>
      <c r="J219" s="142"/>
      <c r="K219" s="142"/>
      <c r="L219" s="142"/>
      <c r="M219" s="142"/>
      <c r="N219" s="142"/>
      <c r="O219" s="142"/>
      <c r="P219" s="142"/>
      <c r="Q219" s="142"/>
      <c r="R219" s="28"/>
    </row>
    <row r="220" spans="2:18" x14ac:dyDescent="0.25">
      <c r="B220" s="27"/>
      <c r="C220" s="142"/>
      <c r="D220" s="142"/>
      <c r="E220" s="142"/>
      <c r="F220" s="142"/>
      <c r="G220" s="142"/>
      <c r="H220" s="142"/>
      <c r="I220" s="142"/>
      <c r="J220" s="142"/>
      <c r="K220" s="142"/>
      <c r="L220" s="142"/>
      <c r="M220" s="142"/>
      <c r="N220" s="142"/>
      <c r="O220" s="142"/>
      <c r="P220" s="142"/>
      <c r="Q220" s="142"/>
      <c r="R220" s="28"/>
    </row>
    <row r="221" spans="2:18" x14ac:dyDescent="0.25">
      <c r="B221" s="27"/>
      <c r="C221" s="142"/>
      <c r="D221" s="142"/>
      <c r="E221" s="142"/>
      <c r="F221" s="142"/>
      <c r="G221" s="142"/>
      <c r="H221" s="142"/>
      <c r="I221" s="142"/>
      <c r="J221" s="142"/>
      <c r="K221" s="142"/>
      <c r="L221" s="142"/>
      <c r="M221" s="142"/>
      <c r="N221" s="142"/>
      <c r="O221" s="142"/>
      <c r="P221" s="142"/>
      <c r="Q221" s="142"/>
      <c r="R221" s="28"/>
    </row>
    <row r="222" spans="2:18" x14ac:dyDescent="0.25">
      <c r="B222" s="27"/>
      <c r="C222" s="142"/>
      <c r="D222" s="142"/>
      <c r="E222" s="142"/>
      <c r="F222" s="142"/>
      <c r="G222" s="142"/>
      <c r="H222" s="142"/>
      <c r="I222" s="142"/>
      <c r="J222" s="142"/>
      <c r="K222" s="142"/>
      <c r="L222" s="142"/>
      <c r="M222" s="142"/>
      <c r="N222" s="142"/>
      <c r="O222" s="142"/>
      <c r="P222" s="142"/>
      <c r="Q222" s="142"/>
      <c r="R222" s="28"/>
    </row>
    <row r="223" spans="2:18" x14ac:dyDescent="0.25">
      <c r="B223" s="27"/>
      <c r="C223" s="142"/>
      <c r="D223" s="142"/>
      <c r="E223" s="142"/>
      <c r="F223" s="142"/>
      <c r="G223" s="142"/>
      <c r="H223" s="142"/>
      <c r="I223" s="142"/>
      <c r="J223" s="142"/>
      <c r="K223" s="142"/>
      <c r="L223" s="142"/>
      <c r="M223" s="142"/>
      <c r="N223" s="142"/>
      <c r="O223" s="142"/>
      <c r="P223" s="142"/>
      <c r="Q223" s="142"/>
      <c r="R223" s="28"/>
    </row>
    <row r="224" spans="2:18" x14ac:dyDescent="0.25">
      <c r="B224" s="27"/>
      <c r="C224" s="142"/>
      <c r="D224" s="142"/>
      <c r="E224" s="142"/>
      <c r="F224" s="142"/>
      <c r="G224" s="142"/>
      <c r="H224" s="142"/>
      <c r="I224" s="142"/>
      <c r="J224" s="142"/>
      <c r="K224" s="142"/>
      <c r="L224" s="142"/>
      <c r="M224" s="142"/>
      <c r="N224" s="142"/>
      <c r="O224" s="142"/>
      <c r="P224" s="142"/>
      <c r="Q224" s="142"/>
      <c r="R224" s="28"/>
    </row>
    <row r="225" spans="2:27" x14ac:dyDescent="0.25">
      <c r="B225" s="27"/>
      <c r="C225" s="142"/>
      <c r="D225" s="142"/>
      <c r="E225" s="142"/>
      <c r="F225" s="142"/>
      <c r="G225" s="142"/>
      <c r="H225" s="142"/>
      <c r="I225" s="142"/>
      <c r="J225" s="142"/>
      <c r="K225" s="142"/>
      <c r="L225" s="142"/>
      <c r="M225" s="142"/>
      <c r="N225" s="142"/>
      <c r="O225" s="142"/>
      <c r="P225" s="142"/>
      <c r="Q225" s="142"/>
      <c r="R225" s="28"/>
    </row>
    <row r="226" spans="2:27" x14ac:dyDescent="0.25">
      <c r="B226" s="27"/>
      <c r="C226" s="142"/>
      <c r="D226" s="142"/>
      <c r="E226" s="142"/>
      <c r="F226" s="142"/>
      <c r="G226" s="142"/>
      <c r="H226" s="142"/>
      <c r="I226" s="142"/>
      <c r="J226" s="142"/>
      <c r="K226" s="142"/>
      <c r="L226" s="142"/>
      <c r="M226" s="142"/>
      <c r="N226" s="142"/>
      <c r="O226" s="142"/>
      <c r="P226" s="142"/>
      <c r="Q226" s="142"/>
      <c r="R226" s="28"/>
    </row>
    <row r="227" spans="2:27" x14ac:dyDescent="0.25">
      <c r="B227" s="27"/>
      <c r="C227" s="142"/>
      <c r="D227" s="142"/>
      <c r="E227" s="142"/>
      <c r="F227" s="142"/>
      <c r="G227" s="142"/>
      <c r="H227" s="142"/>
      <c r="I227" s="142"/>
      <c r="J227" s="142"/>
      <c r="K227" s="142"/>
      <c r="L227" s="142"/>
      <c r="M227" s="142"/>
      <c r="N227" s="142"/>
      <c r="O227" s="142"/>
      <c r="P227" s="142"/>
      <c r="Q227" s="142"/>
      <c r="R227" s="28"/>
    </row>
    <row r="228" spans="2:27" x14ac:dyDescent="0.25">
      <c r="B228" s="27"/>
      <c r="C228" s="142"/>
      <c r="D228" s="142"/>
      <c r="E228" s="142"/>
      <c r="F228" s="142"/>
      <c r="G228" s="142"/>
      <c r="H228" s="142"/>
      <c r="I228" s="142"/>
      <c r="J228" s="142"/>
      <c r="K228" s="142"/>
      <c r="L228" s="142"/>
      <c r="M228" s="142"/>
      <c r="N228" s="142"/>
      <c r="O228" s="142"/>
      <c r="P228" s="142"/>
      <c r="Q228" s="142"/>
      <c r="R228" s="28"/>
    </row>
    <row r="229" spans="2:27" x14ac:dyDescent="0.25">
      <c r="B229" s="27"/>
      <c r="C229" s="142"/>
      <c r="D229" s="142"/>
      <c r="E229" s="142"/>
      <c r="F229" s="142"/>
      <c r="G229" s="142"/>
      <c r="H229" s="142"/>
      <c r="I229" s="142"/>
      <c r="J229" s="142"/>
      <c r="K229" s="142"/>
      <c r="L229" s="142"/>
      <c r="M229" s="142"/>
      <c r="N229" s="142"/>
      <c r="O229" s="142"/>
      <c r="P229" s="142"/>
      <c r="Q229" s="142"/>
      <c r="R229" s="28"/>
    </row>
    <row r="230" spans="2:27" x14ac:dyDescent="0.25">
      <c r="B230" s="27"/>
      <c r="C230" s="142"/>
      <c r="D230" s="142"/>
      <c r="E230" s="142"/>
      <c r="F230" s="142"/>
      <c r="G230" s="142"/>
      <c r="H230" s="142"/>
      <c r="I230" s="142"/>
      <c r="J230" s="142"/>
      <c r="K230" s="142"/>
      <c r="L230" s="142"/>
      <c r="M230" s="142"/>
      <c r="N230" s="142"/>
      <c r="O230" s="142"/>
      <c r="P230" s="142"/>
      <c r="Q230" s="142"/>
      <c r="R230" s="28"/>
    </row>
    <row r="231" spans="2:27" x14ac:dyDescent="0.25">
      <c r="B231" s="27"/>
      <c r="C231" s="142"/>
      <c r="D231" s="142"/>
      <c r="E231" s="142"/>
      <c r="F231" s="142"/>
      <c r="G231" s="142"/>
      <c r="H231" s="142"/>
      <c r="I231" s="142"/>
      <c r="J231" s="142"/>
      <c r="K231" s="142"/>
      <c r="L231" s="142"/>
      <c r="M231" s="142"/>
      <c r="N231" s="142"/>
      <c r="O231" s="142"/>
      <c r="P231" s="142"/>
      <c r="Q231" s="142"/>
      <c r="R231" s="28"/>
    </row>
    <row r="232" spans="2:27" x14ac:dyDescent="0.25">
      <c r="B232" s="27"/>
      <c r="C232" s="142"/>
      <c r="D232" s="142"/>
      <c r="E232" s="142"/>
      <c r="F232" s="142"/>
      <c r="G232" s="142"/>
      <c r="H232" s="142"/>
      <c r="I232" s="142"/>
      <c r="J232" s="142"/>
      <c r="K232" s="142"/>
      <c r="L232" s="142"/>
      <c r="M232" s="142"/>
      <c r="N232" s="142"/>
      <c r="O232" s="142"/>
      <c r="P232" s="142"/>
      <c r="Q232" s="142"/>
      <c r="R232" s="28"/>
    </row>
    <row r="233" spans="2:27" x14ac:dyDescent="0.25">
      <c r="B233" s="27"/>
      <c r="C233" s="142"/>
      <c r="D233" s="142"/>
      <c r="E233" s="142"/>
      <c r="F233" s="142"/>
      <c r="G233" s="142"/>
      <c r="H233" s="142"/>
      <c r="I233" s="142"/>
      <c r="J233" s="142"/>
      <c r="K233" s="142"/>
      <c r="L233" s="142"/>
      <c r="M233" s="142"/>
      <c r="N233" s="142"/>
      <c r="O233" s="142"/>
      <c r="P233" s="142"/>
      <c r="Q233" s="142"/>
      <c r="R233" s="28"/>
    </row>
    <row r="234" spans="2:27" x14ac:dyDescent="0.25">
      <c r="B234" s="27"/>
      <c r="C234" s="142"/>
      <c r="D234" s="142"/>
      <c r="E234" s="142"/>
      <c r="F234" s="142"/>
      <c r="G234" s="142"/>
      <c r="H234" s="142"/>
      <c r="I234" s="142"/>
      <c r="J234" s="142"/>
      <c r="K234" s="142"/>
      <c r="L234" s="142"/>
      <c r="M234" s="142"/>
      <c r="N234" s="142"/>
      <c r="O234" s="142"/>
      <c r="P234" s="142"/>
      <c r="Q234" s="142"/>
      <c r="R234" s="28"/>
    </row>
    <row r="235" spans="2:27" x14ac:dyDescent="0.25">
      <c r="B235" s="27"/>
      <c r="C235" s="142"/>
      <c r="D235" s="142"/>
      <c r="E235" s="142"/>
      <c r="F235" s="142"/>
      <c r="G235" s="142"/>
      <c r="H235" s="142"/>
      <c r="I235" s="142"/>
      <c r="J235" s="142"/>
      <c r="K235" s="142"/>
      <c r="L235" s="142"/>
      <c r="M235" s="142"/>
      <c r="N235" s="142"/>
      <c r="O235" s="142"/>
      <c r="P235" s="142"/>
      <c r="Q235" s="142"/>
      <c r="R235" s="28"/>
    </row>
    <row r="236" spans="2:27" x14ac:dyDescent="0.25">
      <c r="B236" s="30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2"/>
    </row>
    <row r="237" spans="2:27" x14ac:dyDescent="0.25">
      <c r="B237" s="24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6"/>
      <c r="T237" s="143" t="s">
        <v>116</v>
      </c>
    </row>
    <row r="238" spans="2:27" x14ac:dyDescent="0.25">
      <c r="B238" s="27"/>
      <c r="C238" s="142" t="s">
        <v>177</v>
      </c>
      <c r="D238" s="142"/>
      <c r="E238" s="142"/>
      <c r="F238" s="142"/>
      <c r="G238" s="142"/>
      <c r="H238" s="142"/>
      <c r="I238" s="142"/>
      <c r="J238" s="142"/>
      <c r="K238" s="142"/>
      <c r="L238" s="142"/>
      <c r="M238" s="142"/>
      <c r="N238" s="142"/>
      <c r="O238" s="142"/>
      <c r="P238" s="34" t="s">
        <v>107</v>
      </c>
      <c r="Q238" s="142"/>
      <c r="R238" s="28"/>
      <c r="T238" s="144" t="s">
        <v>181</v>
      </c>
      <c r="U238" s="145"/>
      <c r="V238" s="145"/>
      <c r="W238" s="145"/>
      <c r="X238" s="145"/>
      <c r="Y238" s="145"/>
      <c r="Z238" s="145"/>
      <c r="AA238" s="146"/>
    </row>
    <row r="239" spans="2:27" x14ac:dyDescent="0.25">
      <c r="B239" s="27"/>
      <c r="C239" s="23"/>
      <c r="D239" s="142" t="s">
        <v>178</v>
      </c>
      <c r="E239" s="142"/>
      <c r="F239" s="142"/>
      <c r="G239" s="142"/>
      <c r="H239" s="142"/>
      <c r="I239" s="142"/>
      <c r="J239" s="142"/>
      <c r="K239" s="142"/>
      <c r="L239" s="142"/>
      <c r="M239" s="142"/>
      <c r="N239" s="142"/>
      <c r="O239" s="142"/>
      <c r="P239" s="142"/>
      <c r="Q239" s="142"/>
      <c r="R239" s="28"/>
      <c r="T239" s="147"/>
      <c r="U239" s="148"/>
      <c r="V239" s="148"/>
      <c r="W239" s="148"/>
      <c r="X239" s="148"/>
      <c r="Y239" s="148"/>
      <c r="Z239" s="148"/>
      <c r="AA239" s="149"/>
    </row>
    <row r="240" spans="2:27" x14ac:dyDescent="0.25">
      <c r="B240" s="27"/>
      <c r="C240" s="67" t="s">
        <v>83</v>
      </c>
      <c r="D240" s="142" t="s">
        <v>179</v>
      </c>
      <c r="E240" s="142"/>
      <c r="F240" s="142"/>
      <c r="G240" s="142"/>
      <c r="H240" s="142"/>
      <c r="I240" s="142"/>
      <c r="J240" s="142"/>
      <c r="K240" s="142"/>
      <c r="L240" s="142"/>
      <c r="M240" s="142"/>
      <c r="N240" s="142"/>
      <c r="O240" s="142"/>
      <c r="P240" s="142"/>
      <c r="Q240" s="142"/>
      <c r="R240" s="28"/>
      <c r="T240" s="147"/>
      <c r="U240" s="148"/>
      <c r="V240" s="148"/>
      <c r="W240" s="148"/>
      <c r="X240" s="148"/>
      <c r="Y240" s="148"/>
      <c r="Z240" s="148"/>
      <c r="AA240" s="149"/>
    </row>
    <row r="241" spans="2:27" x14ac:dyDescent="0.25">
      <c r="B241" s="27"/>
      <c r="C241" s="23"/>
      <c r="D241" s="142" t="s">
        <v>180</v>
      </c>
      <c r="E241" s="142"/>
      <c r="F241" s="142"/>
      <c r="G241" s="142"/>
      <c r="H241" s="142"/>
      <c r="I241" s="142"/>
      <c r="J241" s="142"/>
      <c r="K241" s="142"/>
      <c r="L241" s="142"/>
      <c r="M241" s="142"/>
      <c r="N241" s="142"/>
      <c r="O241" s="142"/>
      <c r="P241" s="142"/>
      <c r="Q241" s="142"/>
      <c r="R241" s="28"/>
      <c r="T241" s="150"/>
      <c r="U241" s="151"/>
      <c r="V241" s="151"/>
      <c r="W241" s="151"/>
      <c r="X241" s="151"/>
      <c r="Y241" s="151"/>
      <c r="Z241" s="151"/>
      <c r="AA241" s="152"/>
    </row>
    <row r="242" spans="2:27" x14ac:dyDescent="0.25">
      <c r="B242" s="30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2"/>
    </row>
    <row r="243" spans="2:27" x14ac:dyDescent="0.25">
      <c r="B243" s="24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6"/>
      <c r="T243" t="str">
        <f>T237</f>
        <v>Resolução:</v>
      </c>
    </row>
    <row r="244" spans="2:27" x14ac:dyDescent="0.25">
      <c r="B244" s="27"/>
      <c r="C244" s="142" t="s">
        <v>182</v>
      </c>
      <c r="D244" s="142"/>
      <c r="E244" s="142"/>
      <c r="F244" s="142"/>
      <c r="G244" s="142"/>
      <c r="H244" s="142"/>
      <c r="I244" s="142"/>
      <c r="J244" s="142"/>
      <c r="K244" s="142"/>
      <c r="L244" s="142"/>
      <c r="M244" s="142"/>
      <c r="N244" s="142"/>
      <c r="O244" s="142"/>
      <c r="P244" s="34" t="s">
        <v>107</v>
      </c>
      <c r="Q244" s="142"/>
      <c r="R244" s="28"/>
      <c r="T244" s="69"/>
      <c r="U244" s="70"/>
      <c r="V244" s="70"/>
      <c r="W244" s="70"/>
      <c r="X244" s="70"/>
      <c r="Y244" s="70"/>
      <c r="Z244" s="70"/>
      <c r="AA244" s="71"/>
    </row>
    <row r="245" spans="2:27" x14ac:dyDescent="0.25">
      <c r="B245" s="27"/>
      <c r="C245" s="142"/>
      <c r="D245" s="142"/>
      <c r="E245" s="142"/>
      <c r="F245" s="142"/>
      <c r="G245" s="142"/>
      <c r="H245" s="142"/>
      <c r="I245" s="142"/>
      <c r="J245" s="142"/>
      <c r="K245" s="142"/>
      <c r="L245" s="142"/>
      <c r="M245" s="142"/>
      <c r="N245" s="142"/>
      <c r="O245" s="142"/>
      <c r="P245" s="142"/>
      <c r="Q245" s="142"/>
      <c r="R245" s="28"/>
      <c r="T245" s="72"/>
      <c r="U245" s="153"/>
      <c r="V245" s="153"/>
      <c r="W245" s="153"/>
      <c r="X245" s="153"/>
      <c r="Y245" s="153"/>
      <c r="Z245" s="153"/>
      <c r="AA245" s="73"/>
    </row>
    <row r="246" spans="2:27" x14ac:dyDescent="0.25">
      <c r="B246" s="27"/>
      <c r="C246" s="23"/>
      <c r="D246" s="142" t="s">
        <v>183</v>
      </c>
      <c r="E246" s="142"/>
      <c r="F246" s="142"/>
      <c r="G246" s="142"/>
      <c r="H246" s="142"/>
      <c r="I246" s="142"/>
      <c r="J246" s="142"/>
      <c r="K246" s="142"/>
      <c r="L246" s="142"/>
      <c r="M246" s="142"/>
      <c r="N246" s="142"/>
      <c r="O246" s="142"/>
      <c r="P246" s="142"/>
      <c r="Q246" s="142"/>
      <c r="R246" s="28"/>
      <c r="T246" s="72"/>
      <c r="U246" s="153"/>
      <c r="V246" s="153"/>
      <c r="W246" s="153"/>
      <c r="X246" s="153"/>
      <c r="Y246" s="153"/>
      <c r="Z246" s="153"/>
      <c r="AA246" s="73"/>
    </row>
    <row r="247" spans="2:27" x14ac:dyDescent="0.25">
      <c r="B247" s="27"/>
      <c r="C247" s="23"/>
      <c r="D247" s="142" t="s">
        <v>184</v>
      </c>
      <c r="E247" s="142"/>
      <c r="F247" s="142"/>
      <c r="G247" s="142"/>
      <c r="H247" s="142"/>
      <c r="I247" s="142"/>
      <c r="J247" s="142"/>
      <c r="K247" s="142"/>
      <c r="L247" s="142"/>
      <c r="M247" s="142"/>
      <c r="N247" s="142"/>
      <c r="O247" s="142"/>
      <c r="P247" s="142"/>
      <c r="Q247" s="142"/>
      <c r="R247" s="28"/>
      <c r="T247" s="72"/>
      <c r="U247" s="153"/>
      <c r="V247" s="153"/>
      <c r="W247" s="153"/>
      <c r="X247" s="153"/>
      <c r="Y247" s="153"/>
      <c r="Z247" s="153"/>
      <c r="AA247" s="73"/>
    </row>
    <row r="248" spans="2:27" x14ac:dyDescent="0.25">
      <c r="B248" s="27"/>
      <c r="C248" s="67" t="s">
        <v>83</v>
      </c>
      <c r="D248" s="142" t="s">
        <v>185</v>
      </c>
      <c r="E248" s="142"/>
      <c r="F248" s="142"/>
      <c r="G248" s="142"/>
      <c r="H248" s="142"/>
      <c r="I248" s="142"/>
      <c r="J248" s="142"/>
      <c r="K248" s="142"/>
      <c r="L248" s="142"/>
      <c r="M248" s="142"/>
      <c r="N248" s="142"/>
      <c r="O248" s="142"/>
      <c r="P248" s="142"/>
      <c r="Q248" s="142"/>
      <c r="R248" s="28"/>
      <c r="T248" s="72"/>
      <c r="U248" s="153"/>
      <c r="V248" s="153"/>
      <c r="W248" s="153"/>
      <c r="X248" s="153"/>
      <c r="Y248" s="153"/>
      <c r="Z248" s="153"/>
      <c r="AA248" s="73"/>
    </row>
    <row r="249" spans="2:27" x14ac:dyDescent="0.25">
      <c r="B249" s="27"/>
      <c r="C249" s="23"/>
      <c r="D249" s="142" t="s">
        <v>186</v>
      </c>
      <c r="E249" s="142"/>
      <c r="F249" s="142"/>
      <c r="G249" s="142"/>
      <c r="H249" s="142"/>
      <c r="I249" s="142"/>
      <c r="J249" s="142"/>
      <c r="K249" s="142"/>
      <c r="L249" s="142"/>
      <c r="M249" s="142"/>
      <c r="N249" s="142"/>
      <c r="O249" s="142"/>
      <c r="P249" s="142"/>
      <c r="Q249" s="142"/>
      <c r="R249" s="28"/>
      <c r="T249" s="72"/>
      <c r="U249" s="153"/>
      <c r="V249" s="153"/>
      <c r="W249" s="153"/>
      <c r="X249" s="153"/>
      <c r="Y249" s="153"/>
      <c r="Z249" s="153"/>
      <c r="AA249" s="73"/>
    </row>
    <row r="250" spans="2:27" x14ac:dyDescent="0.25">
      <c r="B250" s="27"/>
      <c r="C250" s="23"/>
      <c r="D250" s="142" t="s">
        <v>187</v>
      </c>
      <c r="E250" s="142"/>
      <c r="F250" s="142"/>
      <c r="G250" s="142"/>
      <c r="H250" s="142"/>
      <c r="I250" s="142"/>
      <c r="J250" s="142"/>
      <c r="K250" s="142"/>
      <c r="L250" s="142"/>
      <c r="M250" s="142"/>
      <c r="N250" s="142"/>
      <c r="O250" s="142"/>
      <c r="P250" s="142"/>
      <c r="Q250" s="142"/>
      <c r="R250" s="28"/>
      <c r="T250" s="74"/>
      <c r="U250" s="75"/>
      <c r="V250" s="75"/>
      <c r="W250" s="75"/>
      <c r="X250" s="75"/>
      <c r="Y250" s="75"/>
      <c r="Z250" s="75"/>
      <c r="AA250" s="76"/>
    </row>
    <row r="251" spans="2:27" x14ac:dyDescent="0.25">
      <c r="B251" s="30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2"/>
    </row>
    <row r="252" spans="2:27" x14ac:dyDescent="0.25">
      <c r="B252" s="24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6"/>
      <c r="T252" t="str">
        <f>T243</f>
        <v>Resolução:</v>
      </c>
    </row>
    <row r="253" spans="2:27" x14ac:dyDescent="0.25">
      <c r="B253" s="27"/>
      <c r="C253" s="156" t="s">
        <v>47</v>
      </c>
      <c r="D253" s="156"/>
      <c r="E253" s="156"/>
      <c r="F253" s="156"/>
      <c r="G253" s="156"/>
      <c r="H253" s="156"/>
      <c r="I253" s="156"/>
      <c r="J253" s="156"/>
      <c r="K253" s="156"/>
      <c r="L253" s="156"/>
      <c r="M253" s="156"/>
      <c r="N253" s="156"/>
      <c r="O253" s="156"/>
      <c r="P253" s="156"/>
      <c r="Q253" s="156"/>
      <c r="R253" s="28"/>
      <c r="T253" s="96"/>
      <c r="U253" s="97"/>
      <c r="V253" s="97"/>
      <c r="W253" s="97"/>
      <c r="X253" s="97"/>
      <c r="Y253" s="97"/>
      <c r="Z253" s="97"/>
      <c r="AA253" s="98"/>
    </row>
    <row r="254" spans="2:27" x14ac:dyDescent="0.25">
      <c r="B254" s="27"/>
      <c r="C254" s="142"/>
      <c r="D254" s="142"/>
      <c r="E254" s="142"/>
      <c r="F254" s="142"/>
      <c r="G254" s="142"/>
      <c r="H254" s="142"/>
      <c r="I254" s="142"/>
      <c r="J254" s="142"/>
      <c r="K254" s="142"/>
      <c r="L254" s="142"/>
      <c r="M254" s="142"/>
      <c r="N254" s="142"/>
      <c r="O254" s="142"/>
      <c r="P254" s="34" t="s">
        <v>107</v>
      </c>
      <c r="Q254" s="142"/>
      <c r="R254" s="28"/>
      <c r="T254" s="99"/>
      <c r="U254" s="159"/>
      <c r="V254" s="159"/>
      <c r="W254" s="159"/>
      <c r="X254" s="159"/>
      <c r="Y254" s="159"/>
      <c r="Z254" s="159"/>
      <c r="AA254" s="101"/>
    </row>
    <row r="255" spans="2:27" x14ac:dyDescent="0.25">
      <c r="B255" s="27"/>
      <c r="C255" s="64"/>
      <c r="D255" s="157" t="s">
        <v>43</v>
      </c>
      <c r="E255" s="156"/>
      <c r="F255" s="156"/>
      <c r="G255" s="156"/>
      <c r="H255" s="156"/>
      <c r="I255" s="142"/>
      <c r="J255" s="142"/>
      <c r="K255" s="142"/>
      <c r="L255" s="142"/>
      <c r="M255" s="142"/>
      <c r="N255" s="142"/>
      <c r="O255" s="142"/>
      <c r="P255" s="142"/>
      <c r="Q255" s="142"/>
      <c r="R255" s="28"/>
      <c r="T255" s="99"/>
      <c r="U255" s="159"/>
      <c r="V255" s="159"/>
      <c r="W255" s="159"/>
      <c r="X255" s="159"/>
      <c r="Y255" s="159"/>
      <c r="Z255" s="159"/>
      <c r="AA255" s="101"/>
    </row>
    <row r="256" spans="2:27" x14ac:dyDescent="0.25">
      <c r="B256" s="27"/>
      <c r="C256" s="23"/>
      <c r="D256" s="157" t="s">
        <v>44</v>
      </c>
      <c r="E256" s="156"/>
      <c r="F256" s="156"/>
      <c r="G256" s="156"/>
      <c r="H256" s="156"/>
      <c r="I256" s="142"/>
      <c r="J256" s="142"/>
      <c r="K256" s="142"/>
      <c r="L256" s="142"/>
      <c r="M256" s="142"/>
      <c r="N256" s="142"/>
      <c r="O256" s="142"/>
      <c r="P256" s="142"/>
      <c r="Q256" s="142"/>
      <c r="R256" s="28"/>
      <c r="T256" s="99"/>
      <c r="U256" s="159"/>
      <c r="V256" s="159"/>
      <c r="W256" s="159"/>
      <c r="X256" s="159"/>
      <c r="Y256" s="159"/>
      <c r="Z256" s="159"/>
      <c r="AA256" s="101"/>
    </row>
    <row r="257" spans="2:27" x14ac:dyDescent="0.25">
      <c r="B257" s="27"/>
      <c r="C257" s="23"/>
      <c r="D257" s="157" t="s">
        <v>45</v>
      </c>
      <c r="E257" s="156"/>
      <c r="F257" s="156"/>
      <c r="G257" s="156"/>
      <c r="H257" s="156"/>
      <c r="I257" s="142"/>
      <c r="J257" s="142"/>
      <c r="K257" s="142"/>
      <c r="L257" s="142"/>
      <c r="M257" s="142"/>
      <c r="N257" s="142"/>
      <c r="O257" s="142"/>
      <c r="P257" s="142"/>
      <c r="Q257" s="142"/>
      <c r="R257" s="28"/>
      <c r="T257" s="99"/>
      <c r="U257" s="159"/>
      <c r="V257" s="159"/>
      <c r="W257" s="159"/>
      <c r="X257" s="159"/>
      <c r="Y257" s="159"/>
      <c r="Z257" s="159"/>
      <c r="AA257" s="101"/>
    </row>
    <row r="258" spans="2:27" x14ac:dyDescent="0.25">
      <c r="B258" s="27"/>
      <c r="C258" s="67" t="s">
        <v>83</v>
      </c>
      <c r="D258" s="157" t="s">
        <v>46</v>
      </c>
      <c r="E258" s="156"/>
      <c r="F258" s="156"/>
      <c r="G258" s="156"/>
      <c r="H258" s="156"/>
      <c r="I258" s="142"/>
      <c r="J258" s="142"/>
      <c r="K258" s="142"/>
      <c r="L258" s="142"/>
      <c r="M258" s="142"/>
      <c r="N258" s="142"/>
      <c r="O258" s="142"/>
      <c r="P258" s="142"/>
      <c r="Q258" s="142"/>
      <c r="R258" s="28"/>
      <c r="T258" s="102"/>
      <c r="U258" s="103"/>
      <c r="V258" s="103"/>
      <c r="W258" s="103"/>
      <c r="X258" s="103"/>
      <c r="Y258" s="103"/>
      <c r="Z258" s="103"/>
      <c r="AA258" s="104"/>
    </row>
    <row r="259" spans="2:27" x14ac:dyDescent="0.25">
      <c r="B259" s="30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2"/>
    </row>
    <row r="260" spans="2:27" x14ac:dyDescent="0.25">
      <c r="B260" s="162" t="s">
        <v>189</v>
      </c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8"/>
    </row>
    <row r="261" spans="2:27" x14ac:dyDescent="0.25">
      <c r="B261" s="24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6"/>
      <c r="T261" s="143" t="str">
        <f>T252</f>
        <v>Resolução:</v>
      </c>
    </row>
    <row r="262" spans="2:27" ht="15" customHeight="1" x14ac:dyDescent="0.25">
      <c r="B262" s="27"/>
      <c r="C262" s="159" t="s">
        <v>190</v>
      </c>
      <c r="D262" s="159"/>
      <c r="E262" s="159"/>
      <c r="F262" s="159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28"/>
      <c r="T262" s="96"/>
      <c r="U262" s="97"/>
      <c r="V262" s="97"/>
      <c r="W262" s="97"/>
      <c r="X262" s="97"/>
      <c r="Y262" s="97"/>
      <c r="Z262" s="97"/>
      <c r="AA262" s="98"/>
    </row>
    <row r="263" spans="2:27" x14ac:dyDescent="0.25">
      <c r="B263" s="27"/>
      <c r="C263" s="159"/>
      <c r="D263" s="159"/>
      <c r="E263" s="159"/>
      <c r="F263" s="159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28"/>
      <c r="T263" s="99"/>
      <c r="U263" s="159"/>
      <c r="V263" s="159"/>
      <c r="W263" s="159"/>
      <c r="X263" s="159"/>
      <c r="Y263" s="159"/>
      <c r="Z263" s="159"/>
      <c r="AA263" s="101"/>
    </row>
    <row r="264" spans="2:27" x14ac:dyDescent="0.25">
      <c r="B264" s="27"/>
      <c r="C264" s="159"/>
      <c r="D264" s="159"/>
      <c r="E264" s="159"/>
      <c r="F264" s="159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28"/>
      <c r="T264" s="99"/>
      <c r="U264" s="159"/>
      <c r="V264" s="159"/>
      <c r="W264" s="159"/>
      <c r="X264" s="159"/>
      <c r="Y264" s="159"/>
      <c r="Z264" s="159"/>
      <c r="AA264" s="101"/>
    </row>
    <row r="265" spans="2:27" x14ac:dyDescent="0.25">
      <c r="B265" s="27"/>
      <c r="C265" s="153"/>
      <c r="D265" s="153"/>
      <c r="E265" s="153"/>
      <c r="F265" s="153"/>
      <c r="G265" s="153"/>
      <c r="H265" s="153"/>
      <c r="I265" s="153"/>
      <c r="J265" s="153"/>
      <c r="K265" s="153"/>
      <c r="L265" s="153"/>
      <c r="M265" s="153"/>
      <c r="N265" s="153"/>
      <c r="O265" s="153"/>
      <c r="P265" s="153"/>
      <c r="Q265" s="153"/>
      <c r="R265" s="28"/>
      <c r="T265" s="99"/>
      <c r="U265" s="159"/>
      <c r="V265" s="159"/>
      <c r="W265" s="159"/>
      <c r="X265" s="159"/>
      <c r="Y265" s="159"/>
      <c r="Z265" s="159"/>
      <c r="AA265" s="101"/>
    </row>
    <row r="266" spans="2:27" x14ac:dyDescent="0.25">
      <c r="B266" s="27"/>
      <c r="C266" s="159" t="s">
        <v>191</v>
      </c>
      <c r="D266" s="159"/>
      <c r="E266" s="159"/>
      <c r="F266" s="159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28"/>
      <c r="T266" s="99"/>
      <c r="U266" s="159"/>
      <c r="V266" s="159"/>
      <c r="W266" s="159"/>
      <c r="X266" s="159"/>
      <c r="Y266" s="159"/>
      <c r="Z266" s="159"/>
      <c r="AA266" s="101"/>
    </row>
    <row r="267" spans="2:27" x14ac:dyDescent="0.25">
      <c r="B267" s="27"/>
      <c r="C267" s="142"/>
      <c r="D267" s="142"/>
      <c r="E267" s="142"/>
      <c r="F267" s="142"/>
      <c r="G267" s="142"/>
      <c r="H267" s="142"/>
      <c r="I267" s="142"/>
      <c r="J267" s="142"/>
      <c r="K267" s="142"/>
      <c r="L267" s="142"/>
      <c r="M267" s="142"/>
      <c r="N267" s="142"/>
      <c r="O267" s="142"/>
      <c r="P267" s="34" t="s">
        <v>107</v>
      </c>
      <c r="Q267" s="34" t="s">
        <v>172</v>
      </c>
      <c r="R267" s="28"/>
      <c r="T267" s="99"/>
      <c r="U267" s="159"/>
      <c r="V267" s="159"/>
      <c r="W267" s="159"/>
      <c r="X267" s="159"/>
      <c r="Y267" s="159"/>
      <c r="Z267" s="159"/>
      <c r="AA267" s="101"/>
    </row>
    <row r="268" spans="2:27" x14ac:dyDescent="0.25">
      <c r="B268" s="27"/>
      <c r="C268" s="67" t="s">
        <v>83</v>
      </c>
      <c r="D268" s="142" t="s">
        <v>192</v>
      </c>
      <c r="E268" s="142"/>
      <c r="F268" s="142"/>
      <c r="G268" s="142"/>
      <c r="H268" s="142"/>
      <c r="I268" s="142"/>
      <c r="J268" s="142"/>
      <c r="K268" s="142"/>
      <c r="L268" s="142"/>
      <c r="M268" s="142"/>
      <c r="N268" s="142"/>
      <c r="O268" s="142"/>
      <c r="P268" s="142"/>
      <c r="Q268" s="142"/>
      <c r="R268" s="28"/>
      <c r="T268" s="99"/>
      <c r="U268" s="159"/>
      <c r="V268" s="159"/>
      <c r="W268" s="159"/>
      <c r="X268" s="159"/>
      <c r="Y268" s="159"/>
      <c r="Z268" s="159"/>
      <c r="AA268" s="101"/>
    </row>
    <row r="269" spans="2:27" x14ac:dyDescent="0.25">
      <c r="B269" s="27"/>
      <c r="C269" s="23"/>
      <c r="D269" s="142" t="s">
        <v>193</v>
      </c>
      <c r="E269" s="142"/>
      <c r="F269" s="142"/>
      <c r="G269" s="142"/>
      <c r="H269" s="142"/>
      <c r="I269" s="142"/>
      <c r="J269" s="142"/>
      <c r="K269" s="142"/>
      <c r="L269" s="142"/>
      <c r="M269" s="142"/>
      <c r="N269" s="142"/>
      <c r="O269" s="142"/>
      <c r="P269" s="142"/>
      <c r="Q269" s="142"/>
      <c r="R269" s="28"/>
      <c r="T269" s="99"/>
      <c r="U269" s="159"/>
      <c r="V269" s="159"/>
      <c r="W269" s="159"/>
      <c r="X269" s="159"/>
      <c r="Y269" s="159"/>
      <c r="Z269" s="159"/>
      <c r="AA269" s="101"/>
    </row>
    <row r="270" spans="2:27" x14ac:dyDescent="0.25">
      <c r="B270" s="27"/>
      <c r="C270" s="23"/>
      <c r="D270" s="142" t="s">
        <v>194</v>
      </c>
      <c r="E270" s="142"/>
      <c r="F270" s="142"/>
      <c r="G270" s="142"/>
      <c r="H270" s="142"/>
      <c r="I270" s="142"/>
      <c r="J270" s="142"/>
      <c r="K270" s="142"/>
      <c r="L270" s="142"/>
      <c r="M270" s="142"/>
      <c r="N270" s="142"/>
      <c r="O270" s="142"/>
      <c r="P270" s="142"/>
      <c r="Q270" s="142"/>
      <c r="R270" s="28"/>
      <c r="T270" s="99"/>
      <c r="U270" s="159"/>
      <c r="V270" s="159"/>
      <c r="W270" s="159"/>
      <c r="X270" s="159"/>
      <c r="Y270" s="159"/>
      <c r="Z270" s="159"/>
      <c r="AA270" s="101"/>
    </row>
    <row r="271" spans="2:27" x14ac:dyDescent="0.25">
      <c r="B271" s="27"/>
      <c r="C271" s="23"/>
      <c r="D271" s="142" t="s">
        <v>195</v>
      </c>
      <c r="E271" s="142"/>
      <c r="F271" s="142"/>
      <c r="G271" s="142"/>
      <c r="H271" s="142"/>
      <c r="I271" s="142"/>
      <c r="J271" s="142"/>
      <c r="K271" s="142"/>
      <c r="L271" s="142"/>
      <c r="M271" s="142"/>
      <c r="N271" s="142"/>
      <c r="O271" s="142"/>
      <c r="P271" s="142"/>
      <c r="Q271" s="142"/>
      <c r="R271" s="28"/>
      <c r="T271" s="99"/>
      <c r="U271" s="159"/>
      <c r="V271" s="159"/>
      <c r="W271" s="159"/>
      <c r="X271" s="159"/>
      <c r="Y271" s="159"/>
      <c r="Z271" s="159"/>
      <c r="AA271" s="101"/>
    </row>
    <row r="272" spans="2:27" x14ac:dyDescent="0.25">
      <c r="B272" s="27"/>
      <c r="C272" s="23"/>
      <c r="D272" s="142" t="s">
        <v>196</v>
      </c>
      <c r="E272" s="142"/>
      <c r="F272" s="142"/>
      <c r="G272" s="142"/>
      <c r="H272" s="142"/>
      <c r="I272" s="142"/>
      <c r="J272" s="142"/>
      <c r="K272" s="142"/>
      <c r="L272" s="142"/>
      <c r="M272" s="142"/>
      <c r="N272" s="142"/>
      <c r="O272" s="142"/>
      <c r="P272" s="142"/>
      <c r="Q272" s="142"/>
      <c r="R272" s="28"/>
      <c r="T272" s="99"/>
      <c r="U272" s="159"/>
      <c r="V272" s="159"/>
      <c r="W272" s="159"/>
      <c r="X272" s="159"/>
      <c r="Y272" s="159"/>
      <c r="Z272" s="159"/>
      <c r="AA272" s="101"/>
    </row>
    <row r="273" spans="2:27" x14ac:dyDescent="0.25">
      <c r="B273" s="27"/>
      <c r="C273" s="23"/>
      <c r="D273" s="142" t="s">
        <v>197</v>
      </c>
      <c r="E273" s="142"/>
      <c r="F273" s="142"/>
      <c r="G273" s="142"/>
      <c r="H273" s="142"/>
      <c r="I273" s="142"/>
      <c r="J273" s="142"/>
      <c r="K273" s="142"/>
      <c r="L273" s="142"/>
      <c r="M273" s="142"/>
      <c r="N273" s="142"/>
      <c r="O273" s="142"/>
      <c r="P273" s="142"/>
      <c r="Q273" s="142"/>
      <c r="R273" s="28"/>
      <c r="T273" s="102"/>
      <c r="U273" s="103"/>
      <c r="V273" s="103"/>
      <c r="W273" s="103"/>
      <c r="X273" s="103"/>
      <c r="Y273" s="103"/>
      <c r="Z273" s="103"/>
      <c r="AA273" s="104"/>
    </row>
    <row r="274" spans="2:27" x14ac:dyDescent="0.25">
      <c r="B274" s="30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2"/>
    </row>
    <row r="275" spans="2:27" x14ac:dyDescent="0.25">
      <c r="B275" s="24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6"/>
    </row>
    <row r="276" spans="2:27" x14ac:dyDescent="0.25">
      <c r="B276" s="27"/>
      <c r="C276" s="142" t="s">
        <v>199</v>
      </c>
      <c r="D276" s="142"/>
      <c r="E276" s="142"/>
      <c r="F276" s="142"/>
      <c r="G276" s="142"/>
      <c r="H276" s="142"/>
      <c r="I276" s="142"/>
      <c r="J276" s="142"/>
      <c r="K276" s="142"/>
      <c r="L276" s="142"/>
      <c r="M276" s="142"/>
      <c r="N276" s="142"/>
      <c r="O276" s="142"/>
      <c r="P276" s="34" t="s">
        <v>107</v>
      </c>
      <c r="Q276" s="142" t="s">
        <v>100</v>
      </c>
      <c r="R276" s="28"/>
      <c r="T276" s="143" t="str">
        <f>T261</f>
        <v>Resolução:</v>
      </c>
    </row>
    <row r="277" spans="2:27" x14ac:dyDescent="0.25">
      <c r="B277" s="27"/>
      <c r="C277" s="12"/>
      <c r="D277" s="142" t="s">
        <v>200</v>
      </c>
      <c r="E277" s="142"/>
      <c r="F277" s="142"/>
      <c r="G277" s="142"/>
      <c r="H277" s="142"/>
      <c r="I277" s="142"/>
      <c r="J277" s="142"/>
      <c r="K277" s="142"/>
      <c r="L277" s="142"/>
      <c r="M277" s="142"/>
      <c r="N277" s="142"/>
      <c r="O277" s="142"/>
      <c r="P277" s="142"/>
      <c r="Q277" s="142"/>
      <c r="R277" s="28"/>
    </row>
    <row r="278" spans="2:27" x14ac:dyDescent="0.25">
      <c r="B278" s="27"/>
      <c r="C278" s="67" t="s">
        <v>83</v>
      </c>
      <c r="D278" s="142" t="s">
        <v>201</v>
      </c>
      <c r="E278" s="142"/>
      <c r="F278" s="142"/>
      <c r="G278" s="142"/>
      <c r="H278" s="142"/>
      <c r="I278" s="142"/>
      <c r="J278" s="142"/>
      <c r="K278" s="142"/>
      <c r="L278" s="142"/>
      <c r="M278" s="142"/>
      <c r="N278" s="142"/>
      <c r="O278" s="142"/>
      <c r="P278" s="142"/>
      <c r="Q278" s="142"/>
      <c r="R278" s="28"/>
    </row>
    <row r="279" spans="2:27" x14ac:dyDescent="0.25">
      <c r="B279" s="27"/>
      <c r="C279" s="12"/>
      <c r="D279" s="142" t="s">
        <v>202</v>
      </c>
      <c r="E279" s="142"/>
      <c r="F279" s="142"/>
      <c r="G279" s="142"/>
      <c r="H279" s="142"/>
      <c r="I279" s="142"/>
      <c r="J279" s="142"/>
      <c r="K279" s="142"/>
      <c r="L279" s="142"/>
      <c r="M279" s="142"/>
      <c r="N279" s="142"/>
      <c r="O279" s="142"/>
      <c r="P279" s="142"/>
      <c r="Q279" s="142"/>
      <c r="R279" s="28"/>
    </row>
    <row r="280" spans="2:27" x14ac:dyDescent="0.25">
      <c r="B280" s="27"/>
      <c r="C280" s="12"/>
      <c r="D280" s="142" t="s">
        <v>203</v>
      </c>
      <c r="E280" s="142"/>
      <c r="F280" s="142"/>
      <c r="G280" s="142"/>
      <c r="H280" s="142"/>
      <c r="I280" s="142"/>
      <c r="J280" s="142"/>
      <c r="K280" s="142"/>
      <c r="L280" s="142"/>
      <c r="M280" s="142"/>
      <c r="N280" s="142"/>
      <c r="O280" s="142"/>
      <c r="P280" s="142"/>
      <c r="Q280" s="142"/>
      <c r="R280" s="28"/>
    </row>
    <row r="281" spans="2:27" x14ac:dyDescent="0.25">
      <c r="B281" s="27"/>
      <c r="C281" s="142"/>
      <c r="D281" s="142"/>
      <c r="E281" s="142"/>
      <c r="F281" s="142"/>
      <c r="G281" s="142"/>
      <c r="H281" s="142"/>
      <c r="I281" s="142"/>
      <c r="J281" s="142"/>
      <c r="K281" s="142"/>
      <c r="L281" s="142"/>
      <c r="M281" s="142"/>
      <c r="N281" s="142"/>
      <c r="O281" s="142"/>
      <c r="P281" s="142"/>
      <c r="Q281" s="142"/>
      <c r="R281" s="28"/>
    </row>
    <row r="282" spans="2:27" x14ac:dyDescent="0.25">
      <c r="B282" s="24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6"/>
    </row>
    <row r="283" spans="2:27" x14ac:dyDescent="0.25">
      <c r="B283" s="27"/>
      <c r="C283" s="142" t="s">
        <v>208</v>
      </c>
      <c r="D283" s="142"/>
      <c r="E283" s="142"/>
      <c r="F283" s="142"/>
      <c r="G283" s="142"/>
      <c r="H283" s="142"/>
      <c r="I283" s="142"/>
      <c r="J283" s="142"/>
      <c r="K283" s="142"/>
      <c r="L283" s="142"/>
      <c r="M283" s="142"/>
      <c r="N283" s="142"/>
      <c r="O283" s="142"/>
      <c r="P283" s="142"/>
      <c r="Q283" s="142"/>
      <c r="R283" s="28"/>
    </row>
    <row r="284" spans="2:27" x14ac:dyDescent="0.25">
      <c r="B284" s="27"/>
      <c r="C284" s="142"/>
      <c r="D284" s="142"/>
      <c r="E284" s="142"/>
      <c r="F284" s="142"/>
      <c r="G284" s="142"/>
      <c r="H284" s="142"/>
      <c r="I284" s="142"/>
      <c r="J284" s="142"/>
      <c r="K284" s="142"/>
      <c r="L284" s="142"/>
      <c r="M284" s="142"/>
      <c r="N284" s="142"/>
      <c r="O284" s="142"/>
      <c r="P284" s="34" t="s">
        <v>107</v>
      </c>
      <c r="Q284" s="142" t="s">
        <v>100</v>
      </c>
      <c r="R284" s="28"/>
    </row>
    <row r="285" spans="2:27" x14ac:dyDescent="0.25">
      <c r="B285" s="27"/>
      <c r="C285" s="142" t="s">
        <v>209</v>
      </c>
      <c r="D285" s="142"/>
      <c r="E285" s="142"/>
      <c r="F285" s="142"/>
      <c r="G285" s="142"/>
      <c r="H285" s="142"/>
      <c r="I285" s="142"/>
      <c r="J285" s="142"/>
      <c r="K285" s="142"/>
      <c r="L285" s="142"/>
      <c r="M285" s="142"/>
      <c r="N285" s="142"/>
      <c r="O285" s="142"/>
      <c r="P285" s="142"/>
      <c r="Q285" s="142"/>
      <c r="R285" s="28"/>
    </row>
    <row r="286" spans="2:27" x14ac:dyDescent="0.25">
      <c r="B286" s="27"/>
      <c r="C286" s="142"/>
      <c r="D286" s="142"/>
      <c r="E286" s="142"/>
      <c r="F286" s="142"/>
      <c r="G286" s="142"/>
      <c r="H286" s="142"/>
      <c r="I286" s="142"/>
      <c r="J286" s="142"/>
      <c r="K286" s="142"/>
      <c r="L286" s="142"/>
      <c r="M286" s="142"/>
      <c r="N286" s="142"/>
      <c r="O286" s="142"/>
      <c r="P286" s="142"/>
      <c r="Q286" s="142"/>
      <c r="R286" s="28"/>
    </row>
    <row r="287" spans="2:27" x14ac:dyDescent="0.25">
      <c r="B287" s="27"/>
      <c r="C287" s="142"/>
      <c r="D287" s="142"/>
      <c r="E287" s="142"/>
      <c r="F287" s="142"/>
      <c r="G287" s="142"/>
      <c r="H287" s="142"/>
      <c r="I287" s="142"/>
      <c r="J287" s="142"/>
      <c r="K287" s="142"/>
      <c r="L287" s="142"/>
      <c r="M287" s="142"/>
      <c r="N287" s="142"/>
      <c r="O287" s="142"/>
      <c r="P287" s="142"/>
      <c r="Q287" s="142"/>
      <c r="R287" s="28"/>
    </row>
    <row r="288" spans="2:27" x14ac:dyDescent="0.25">
      <c r="B288" s="27"/>
      <c r="C288" s="142"/>
      <c r="D288" s="142"/>
      <c r="E288" s="142"/>
      <c r="F288" s="142"/>
      <c r="G288" s="142"/>
      <c r="H288" s="142"/>
      <c r="I288" s="142"/>
      <c r="J288" s="142"/>
      <c r="K288" s="142"/>
      <c r="L288" s="142"/>
      <c r="M288" s="142"/>
      <c r="N288" s="142"/>
      <c r="O288" s="23"/>
      <c r="P288" s="142" t="s">
        <v>210</v>
      </c>
      <c r="Q288" s="142"/>
      <c r="R288" s="28"/>
    </row>
    <row r="289" spans="2:18" x14ac:dyDescent="0.25">
      <c r="B289" s="27"/>
      <c r="C289" s="142"/>
      <c r="D289" s="142"/>
      <c r="E289" s="142"/>
      <c r="F289" s="142"/>
      <c r="G289" s="142"/>
      <c r="H289" s="142"/>
      <c r="I289" s="142"/>
      <c r="J289" s="142"/>
      <c r="K289" s="142"/>
      <c r="L289" s="142"/>
      <c r="M289" s="142"/>
      <c r="N289" s="142"/>
      <c r="O289" s="23"/>
      <c r="P289" s="142" t="s">
        <v>211</v>
      </c>
      <c r="Q289" s="142"/>
      <c r="R289" s="28"/>
    </row>
    <row r="290" spans="2:18" x14ac:dyDescent="0.25">
      <c r="B290" s="27"/>
      <c r="C290" s="142"/>
      <c r="D290" s="142"/>
      <c r="E290" s="142"/>
      <c r="F290" s="142"/>
      <c r="G290" s="142"/>
      <c r="H290" s="142"/>
      <c r="I290" s="142"/>
      <c r="J290" s="142"/>
      <c r="K290" s="142"/>
      <c r="L290" s="142"/>
      <c r="M290" s="142"/>
      <c r="N290" s="142"/>
      <c r="O290" s="67" t="s">
        <v>83</v>
      </c>
      <c r="P290" s="142" t="s">
        <v>212</v>
      </c>
      <c r="Q290" s="142"/>
      <c r="R290" s="28"/>
    </row>
    <row r="291" spans="2:18" x14ac:dyDescent="0.25">
      <c r="B291" s="27"/>
      <c r="C291" s="142"/>
      <c r="D291" s="142"/>
      <c r="E291" s="142"/>
      <c r="F291" s="142"/>
      <c r="G291" s="142"/>
      <c r="H291" s="142"/>
      <c r="I291" s="142"/>
      <c r="J291" s="142"/>
      <c r="K291" s="142"/>
      <c r="L291" s="142"/>
      <c r="M291" s="142"/>
      <c r="N291" s="142"/>
      <c r="O291" s="23"/>
      <c r="P291" s="142" t="s">
        <v>213</v>
      </c>
      <c r="Q291" s="142"/>
      <c r="R291" s="28"/>
    </row>
    <row r="292" spans="2:18" x14ac:dyDescent="0.25">
      <c r="B292" s="27"/>
      <c r="C292" s="142"/>
      <c r="D292" s="142"/>
      <c r="E292" s="142"/>
      <c r="F292" s="142"/>
      <c r="G292" s="142"/>
      <c r="H292" s="142"/>
      <c r="I292" s="142"/>
      <c r="J292" s="142"/>
      <c r="K292" s="142"/>
      <c r="L292" s="142"/>
      <c r="M292" s="142"/>
      <c r="N292" s="142"/>
      <c r="O292" s="142"/>
      <c r="P292" s="142"/>
      <c r="Q292" s="142"/>
      <c r="R292" s="28"/>
    </row>
    <row r="293" spans="2:18" x14ac:dyDescent="0.25">
      <c r="B293" s="27"/>
      <c r="C293" s="142"/>
      <c r="D293" s="142"/>
      <c r="E293" s="142"/>
      <c r="F293" s="142"/>
      <c r="G293" s="142"/>
      <c r="H293" s="142"/>
      <c r="I293" s="142"/>
      <c r="J293" s="142"/>
      <c r="K293" s="142"/>
      <c r="L293" s="142"/>
      <c r="M293" s="142"/>
      <c r="N293" s="142"/>
      <c r="O293" s="142"/>
      <c r="P293" s="142"/>
      <c r="Q293" s="142"/>
      <c r="R293" s="28"/>
    </row>
    <row r="294" spans="2:18" x14ac:dyDescent="0.25">
      <c r="B294" s="27"/>
      <c r="C294" s="142"/>
      <c r="D294" s="142"/>
      <c r="E294" s="142"/>
      <c r="F294" s="142"/>
      <c r="G294" s="142"/>
      <c r="H294" s="142"/>
      <c r="I294" s="142"/>
      <c r="J294" s="142"/>
      <c r="K294" s="142"/>
      <c r="L294" s="142"/>
      <c r="M294" s="142"/>
      <c r="N294" s="142"/>
      <c r="O294" s="142" t="s">
        <v>116</v>
      </c>
      <c r="P294" s="142"/>
      <c r="Q294" s="142"/>
      <c r="R294" s="28"/>
    </row>
    <row r="295" spans="2:18" x14ac:dyDescent="0.25">
      <c r="B295" s="27"/>
      <c r="C295" s="142"/>
      <c r="D295" s="142"/>
      <c r="E295" s="142"/>
      <c r="F295" s="142"/>
      <c r="G295" s="142"/>
      <c r="H295" s="142"/>
      <c r="I295" s="142"/>
      <c r="J295" s="142"/>
      <c r="K295" s="142"/>
      <c r="L295" s="142"/>
      <c r="M295" s="142"/>
      <c r="N295" s="142"/>
      <c r="O295" s="96" t="s">
        <v>214</v>
      </c>
      <c r="P295" s="97"/>
      <c r="Q295" s="98"/>
      <c r="R295" s="28"/>
    </row>
    <row r="296" spans="2:18" x14ac:dyDescent="0.25">
      <c r="B296" s="27"/>
      <c r="C296" s="142"/>
      <c r="D296" s="142"/>
      <c r="E296" s="142"/>
      <c r="F296" s="142"/>
      <c r="G296" s="142"/>
      <c r="H296" s="142"/>
      <c r="I296" s="142"/>
      <c r="J296" s="142"/>
      <c r="K296" s="142"/>
      <c r="L296" s="142"/>
      <c r="M296" s="142"/>
      <c r="N296" s="142"/>
      <c r="O296" s="99"/>
      <c r="P296" s="159"/>
      <c r="Q296" s="101"/>
      <c r="R296" s="28"/>
    </row>
    <row r="297" spans="2:18" x14ac:dyDescent="0.25">
      <c r="B297" s="27"/>
      <c r="C297" s="142"/>
      <c r="D297" s="142"/>
      <c r="E297" s="142"/>
      <c r="F297" s="142"/>
      <c r="G297" s="142"/>
      <c r="H297" s="142"/>
      <c r="I297" s="142"/>
      <c r="J297" s="142"/>
      <c r="K297" s="142"/>
      <c r="L297" s="142"/>
      <c r="M297" s="142"/>
      <c r="N297" s="142"/>
      <c r="O297" s="99"/>
      <c r="P297" s="159"/>
      <c r="Q297" s="101"/>
      <c r="R297" s="28"/>
    </row>
    <row r="298" spans="2:18" x14ac:dyDescent="0.25">
      <c r="B298" s="27"/>
      <c r="C298" s="142"/>
      <c r="D298" s="142"/>
      <c r="E298" s="142"/>
      <c r="F298" s="142"/>
      <c r="G298" s="142"/>
      <c r="H298" s="142"/>
      <c r="I298" s="142"/>
      <c r="J298" s="142"/>
      <c r="K298" s="142"/>
      <c r="L298" s="142"/>
      <c r="M298" s="142"/>
      <c r="N298" s="142"/>
      <c r="O298" s="99"/>
      <c r="P298" s="159"/>
      <c r="Q298" s="101"/>
      <c r="R298" s="28"/>
    </row>
    <row r="299" spans="2:18" x14ac:dyDescent="0.25">
      <c r="B299" s="27"/>
      <c r="C299" s="142"/>
      <c r="D299" s="142"/>
      <c r="E299" s="142"/>
      <c r="F299" s="142"/>
      <c r="G299" s="142"/>
      <c r="H299" s="142"/>
      <c r="I299" s="142"/>
      <c r="J299" s="142"/>
      <c r="K299" s="142"/>
      <c r="L299" s="142"/>
      <c r="M299" s="142"/>
      <c r="N299" s="142"/>
      <c r="O299" s="99"/>
      <c r="P299" s="159"/>
      <c r="Q299" s="101"/>
      <c r="R299" s="28"/>
    </row>
    <row r="300" spans="2:18" x14ac:dyDescent="0.25">
      <c r="B300" s="27"/>
      <c r="C300" s="142"/>
      <c r="D300" s="142"/>
      <c r="E300" s="142"/>
      <c r="F300" s="142"/>
      <c r="G300" s="142"/>
      <c r="H300" s="142"/>
      <c r="I300" s="142"/>
      <c r="J300" s="142"/>
      <c r="K300" s="142"/>
      <c r="L300" s="142"/>
      <c r="M300" s="142"/>
      <c r="N300" s="142"/>
      <c r="O300" s="99"/>
      <c r="P300" s="159"/>
      <c r="Q300" s="101"/>
      <c r="R300" s="28"/>
    </row>
    <row r="301" spans="2:18" x14ac:dyDescent="0.25">
      <c r="B301" s="27"/>
      <c r="C301" s="142"/>
      <c r="D301" s="142"/>
      <c r="E301" s="142"/>
      <c r="F301" s="142"/>
      <c r="G301" s="142"/>
      <c r="H301" s="142"/>
      <c r="I301" s="142"/>
      <c r="J301" s="142"/>
      <c r="K301" s="142"/>
      <c r="L301" s="142"/>
      <c r="M301" s="142"/>
      <c r="N301" s="142"/>
      <c r="O301" s="99"/>
      <c r="P301" s="159"/>
      <c r="Q301" s="101"/>
      <c r="R301" s="28"/>
    </row>
    <row r="302" spans="2:18" x14ac:dyDescent="0.25">
      <c r="B302" s="27"/>
      <c r="C302" s="142"/>
      <c r="D302" s="142"/>
      <c r="E302" s="142"/>
      <c r="F302" s="142"/>
      <c r="G302" s="142"/>
      <c r="H302" s="142"/>
      <c r="I302" s="142"/>
      <c r="J302" s="142"/>
      <c r="K302" s="142"/>
      <c r="L302" s="142"/>
      <c r="M302" s="142"/>
      <c r="N302" s="142"/>
      <c r="O302" s="99"/>
      <c r="P302" s="159"/>
      <c r="Q302" s="101"/>
      <c r="R302" s="28"/>
    </row>
    <row r="303" spans="2:18" x14ac:dyDescent="0.25">
      <c r="B303" s="27"/>
      <c r="C303" s="142"/>
      <c r="D303" s="142"/>
      <c r="E303" s="142"/>
      <c r="F303" s="142"/>
      <c r="G303" s="142"/>
      <c r="H303" s="142"/>
      <c r="I303" s="142"/>
      <c r="J303" s="142"/>
      <c r="K303" s="142"/>
      <c r="L303" s="142"/>
      <c r="M303" s="142"/>
      <c r="N303" s="142"/>
      <c r="O303" s="99"/>
      <c r="P303" s="159"/>
      <c r="Q303" s="101"/>
      <c r="R303" s="28"/>
    </row>
    <row r="304" spans="2:18" x14ac:dyDescent="0.25">
      <c r="B304" s="27"/>
      <c r="C304" s="142"/>
      <c r="D304" s="142"/>
      <c r="E304" s="142"/>
      <c r="F304" s="142"/>
      <c r="G304" s="142"/>
      <c r="H304" s="142"/>
      <c r="I304" s="142"/>
      <c r="J304" s="142"/>
      <c r="K304" s="142"/>
      <c r="L304" s="142"/>
      <c r="M304" s="142"/>
      <c r="N304" s="142"/>
      <c r="O304" s="99"/>
      <c r="P304" s="159"/>
      <c r="Q304" s="101"/>
      <c r="R304" s="28"/>
    </row>
    <row r="305" spans="2:18" x14ac:dyDescent="0.25">
      <c r="B305" s="27"/>
      <c r="C305" s="142"/>
      <c r="D305" s="142"/>
      <c r="E305" s="142"/>
      <c r="F305" s="142"/>
      <c r="G305" s="142"/>
      <c r="H305" s="142"/>
      <c r="I305" s="142"/>
      <c r="J305" s="142"/>
      <c r="K305" s="142"/>
      <c r="L305" s="142"/>
      <c r="M305" s="142"/>
      <c r="N305" s="142"/>
      <c r="O305" s="99"/>
      <c r="P305" s="159"/>
      <c r="Q305" s="101"/>
      <c r="R305" s="28"/>
    </row>
    <row r="306" spans="2:18" x14ac:dyDescent="0.25">
      <c r="B306" s="27"/>
      <c r="C306" s="142"/>
      <c r="D306" s="142"/>
      <c r="E306" s="142"/>
      <c r="F306" s="142"/>
      <c r="G306" s="142"/>
      <c r="H306" s="142"/>
      <c r="I306" s="142"/>
      <c r="J306" s="142"/>
      <c r="K306" s="142"/>
      <c r="L306" s="142"/>
      <c r="M306" s="142"/>
      <c r="N306" s="142"/>
      <c r="O306" s="99"/>
      <c r="P306" s="159"/>
      <c r="Q306" s="101"/>
      <c r="R306" s="28"/>
    </row>
    <row r="307" spans="2:18" x14ac:dyDescent="0.25">
      <c r="B307" s="27"/>
      <c r="C307" s="142"/>
      <c r="D307" s="142"/>
      <c r="E307" s="142"/>
      <c r="F307" s="142"/>
      <c r="G307" s="142"/>
      <c r="H307" s="142"/>
      <c r="I307" s="142"/>
      <c r="J307" s="142"/>
      <c r="K307" s="142"/>
      <c r="L307" s="142"/>
      <c r="M307" s="142"/>
      <c r="N307" s="142"/>
      <c r="O307" s="99"/>
      <c r="P307" s="159"/>
      <c r="Q307" s="101"/>
      <c r="R307" s="28"/>
    </row>
    <row r="308" spans="2:18" x14ac:dyDescent="0.25">
      <c r="B308" s="27"/>
      <c r="C308" s="142"/>
      <c r="D308" s="142"/>
      <c r="E308" s="142"/>
      <c r="F308" s="142"/>
      <c r="G308" s="142"/>
      <c r="H308" s="142"/>
      <c r="I308" s="142"/>
      <c r="J308" s="142"/>
      <c r="K308" s="142"/>
      <c r="L308" s="142"/>
      <c r="M308" s="142"/>
      <c r="N308" s="142"/>
      <c r="O308" s="99"/>
      <c r="P308" s="159"/>
      <c r="Q308" s="101"/>
      <c r="R308" s="28"/>
    </row>
    <row r="309" spans="2:18" x14ac:dyDescent="0.25">
      <c r="B309" s="27"/>
      <c r="C309" s="142"/>
      <c r="D309" s="142"/>
      <c r="E309" s="142"/>
      <c r="F309" s="142"/>
      <c r="G309" s="142"/>
      <c r="H309" s="142"/>
      <c r="I309" s="142"/>
      <c r="J309" s="142"/>
      <c r="K309" s="142"/>
      <c r="L309" s="142"/>
      <c r="M309" s="142"/>
      <c r="N309" s="142"/>
      <c r="O309" s="99"/>
      <c r="P309" s="159"/>
      <c r="Q309" s="101"/>
      <c r="R309" s="28"/>
    </row>
    <row r="310" spans="2:18" x14ac:dyDescent="0.25">
      <c r="B310" s="27"/>
      <c r="C310" s="142"/>
      <c r="D310" s="142"/>
      <c r="E310" s="142"/>
      <c r="F310" s="142"/>
      <c r="G310" s="142"/>
      <c r="H310" s="142"/>
      <c r="I310" s="142"/>
      <c r="J310" s="142"/>
      <c r="K310" s="142"/>
      <c r="L310" s="142"/>
      <c r="M310" s="142"/>
      <c r="N310" s="142"/>
      <c r="O310" s="102"/>
      <c r="P310" s="103"/>
      <c r="Q310" s="104"/>
      <c r="R310" s="28"/>
    </row>
    <row r="311" spans="2:18" x14ac:dyDescent="0.25">
      <c r="B311" s="27"/>
      <c r="C311" s="142"/>
      <c r="D311" s="142"/>
      <c r="E311" s="142"/>
      <c r="F311" s="142"/>
      <c r="G311" s="142"/>
      <c r="H311" s="142"/>
      <c r="I311" s="142"/>
      <c r="J311" s="142"/>
      <c r="K311" s="142"/>
      <c r="L311" s="142"/>
      <c r="M311" s="142"/>
      <c r="N311" s="142"/>
      <c r="O311" s="142"/>
      <c r="P311" s="142"/>
      <c r="Q311" s="142"/>
      <c r="R311" s="28"/>
    </row>
    <row r="312" spans="2:18" x14ac:dyDescent="0.25">
      <c r="B312" s="27"/>
      <c r="C312" s="142"/>
      <c r="D312" s="142"/>
      <c r="E312" s="142"/>
      <c r="F312" s="142"/>
      <c r="G312" s="142"/>
      <c r="H312" s="142"/>
      <c r="I312" s="142"/>
      <c r="J312" s="142"/>
      <c r="K312" s="142"/>
      <c r="L312" s="142"/>
      <c r="M312" s="142"/>
      <c r="N312" s="142"/>
      <c r="O312" s="142"/>
      <c r="P312" s="142"/>
      <c r="Q312" s="142"/>
      <c r="R312" s="28"/>
    </row>
    <row r="313" spans="2:18" x14ac:dyDescent="0.25">
      <c r="B313" s="27"/>
      <c r="C313" s="142"/>
      <c r="D313" s="142"/>
      <c r="E313" s="142"/>
      <c r="F313" s="142"/>
      <c r="G313" s="142"/>
      <c r="H313" s="142"/>
      <c r="I313" s="142"/>
      <c r="J313" s="142"/>
      <c r="K313" s="142"/>
      <c r="L313" s="142"/>
      <c r="M313" s="142"/>
      <c r="N313" s="142"/>
      <c r="O313" s="142"/>
      <c r="P313" s="142"/>
      <c r="Q313" s="142"/>
      <c r="R313" s="28"/>
    </row>
    <row r="314" spans="2:18" x14ac:dyDescent="0.25">
      <c r="B314" s="27"/>
      <c r="C314" s="142"/>
      <c r="D314" s="142"/>
      <c r="E314" s="142"/>
      <c r="F314" s="142"/>
      <c r="G314" s="142"/>
      <c r="H314" s="142"/>
      <c r="I314" s="142"/>
      <c r="J314" s="142"/>
      <c r="K314" s="142"/>
      <c r="L314" s="142"/>
      <c r="M314" s="142"/>
      <c r="N314" s="142"/>
      <c r="O314" s="142"/>
      <c r="P314" s="142"/>
      <c r="Q314" s="142"/>
      <c r="R314" s="28"/>
    </row>
    <row r="315" spans="2:18" x14ac:dyDescent="0.25">
      <c r="B315" s="27"/>
      <c r="C315" s="142"/>
      <c r="D315" s="142"/>
      <c r="E315" s="142"/>
      <c r="F315" s="142"/>
      <c r="G315" s="142"/>
      <c r="H315" s="142"/>
      <c r="I315" s="142"/>
      <c r="J315" s="142"/>
      <c r="K315" s="142"/>
      <c r="L315" s="142"/>
      <c r="M315" s="142"/>
      <c r="N315" s="142"/>
      <c r="O315" s="142"/>
      <c r="P315" s="142"/>
      <c r="Q315" s="142"/>
      <c r="R315" s="28"/>
    </row>
    <row r="316" spans="2:18" x14ac:dyDescent="0.25">
      <c r="B316" s="27"/>
      <c r="C316" s="142"/>
      <c r="D316" s="142"/>
      <c r="E316" s="142"/>
      <c r="F316" s="142"/>
      <c r="G316" s="142"/>
      <c r="H316" s="142"/>
      <c r="I316" s="142"/>
      <c r="J316" s="142"/>
      <c r="K316" s="142"/>
      <c r="L316" s="142"/>
      <c r="M316" s="142"/>
      <c r="N316" s="142"/>
      <c r="O316" s="142"/>
      <c r="P316" s="142"/>
      <c r="Q316" s="142"/>
      <c r="R316" s="28"/>
    </row>
    <row r="317" spans="2:18" x14ac:dyDescent="0.25">
      <c r="B317" s="27"/>
      <c r="C317" s="142"/>
      <c r="D317" s="142"/>
      <c r="E317" s="142"/>
      <c r="F317" s="142"/>
      <c r="G317" s="142"/>
      <c r="H317" s="142"/>
      <c r="I317" s="142"/>
      <c r="J317" s="142"/>
      <c r="K317" s="142"/>
      <c r="L317" s="142"/>
      <c r="M317" s="142"/>
      <c r="N317" s="142"/>
      <c r="O317" s="142"/>
      <c r="P317" s="142"/>
      <c r="Q317" s="142"/>
      <c r="R317" s="28"/>
    </row>
    <row r="318" spans="2:18" x14ac:dyDescent="0.25">
      <c r="B318" s="27"/>
      <c r="C318" s="142"/>
      <c r="D318" s="142"/>
      <c r="E318" s="142"/>
      <c r="F318" s="142"/>
      <c r="G318" s="142"/>
      <c r="H318" s="142"/>
      <c r="I318" s="142"/>
      <c r="J318" s="142"/>
      <c r="K318" s="142"/>
      <c r="L318" s="142"/>
      <c r="M318" s="142"/>
      <c r="N318" s="142"/>
      <c r="O318" s="142"/>
      <c r="P318" s="142"/>
      <c r="Q318" s="142"/>
      <c r="R318" s="28"/>
    </row>
    <row r="319" spans="2:18" x14ac:dyDescent="0.25">
      <c r="B319" s="27"/>
      <c r="C319" s="142"/>
      <c r="D319" s="142"/>
      <c r="E319" s="142"/>
      <c r="F319" s="142"/>
      <c r="G319" s="142"/>
      <c r="H319" s="142"/>
      <c r="I319" s="142"/>
      <c r="J319" s="142"/>
      <c r="K319" s="142"/>
      <c r="L319" s="142"/>
      <c r="M319" s="142"/>
      <c r="N319" s="142"/>
      <c r="O319" s="142"/>
      <c r="P319" s="142"/>
      <c r="Q319" s="142"/>
      <c r="R319" s="28"/>
    </row>
    <row r="320" spans="2:18" x14ac:dyDescent="0.25">
      <c r="B320" s="27"/>
      <c r="C320" s="142"/>
      <c r="D320" s="142"/>
      <c r="E320" s="142"/>
      <c r="F320" s="142"/>
      <c r="G320" s="142"/>
      <c r="H320" s="142"/>
      <c r="I320" s="142"/>
      <c r="J320" s="142"/>
      <c r="K320" s="142"/>
      <c r="L320" s="142"/>
      <c r="M320" s="142"/>
      <c r="N320" s="142"/>
      <c r="O320" s="142"/>
      <c r="P320" s="142"/>
      <c r="Q320" s="142"/>
      <c r="R320" s="28"/>
    </row>
    <row r="321" spans="2:18" x14ac:dyDescent="0.25">
      <c r="B321" s="27"/>
      <c r="C321" s="142"/>
      <c r="D321" s="142"/>
      <c r="E321" s="142"/>
      <c r="F321" s="142"/>
      <c r="G321" s="142"/>
      <c r="H321" s="142"/>
      <c r="I321" s="142"/>
      <c r="J321" s="142"/>
      <c r="K321" s="142"/>
      <c r="L321" s="142"/>
      <c r="M321" s="142"/>
      <c r="N321" s="142"/>
      <c r="O321" s="142"/>
      <c r="P321" s="142"/>
      <c r="Q321" s="142"/>
      <c r="R321" s="28"/>
    </row>
    <row r="322" spans="2:18" x14ac:dyDescent="0.25">
      <c r="B322" s="27"/>
      <c r="C322" s="142"/>
      <c r="D322" s="142"/>
      <c r="E322" s="142"/>
      <c r="F322" s="142"/>
      <c r="G322" s="142"/>
      <c r="H322" s="142"/>
      <c r="I322" s="142"/>
      <c r="J322" s="142"/>
      <c r="K322" s="142"/>
      <c r="L322" s="142"/>
      <c r="M322" s="142"/>
      <c r="N322" s="142"/>
      <c r="O322" s="142"/>
      <c r="P322" s="142"/>
      <c r="Q322" s="142"/>
      <c r="R322" s="28"/>
    </row>
    <row r="323" spans="2:18" x14ac:dyDescent="0.25">
      <c r="B323" s="27"/>
      <c r="C323" s="142"/>
      <c r="D323" s="142"/>
      <c r="E323" s="142"/>
      <c r="F323" s="142"/>
      <c r="G323" s="142"/>
      <c r="H323" s="142"/>
      <c r="I323" s="142"/>
      <c r="J323" s="142"/>
      <c r="K323" s="142"/>
      <c r="L323" s="142"/>
      <c r="M323" s="142"/>
      <c r="N323" s="142"/>
      <c r="O323" s="142"/>
      <c r="P323" s="142"/>
      <c r="Q323" s="142"/>
      <c r="R323" s="28"/>
    </row>
    <row r="324" spans="2:18" x14ac:dyDescent="0.25">
      <c r="B324" s="27"/>
      <c r="C324" s="142"/>
      <c r="D324" s="142"/>
      <c r="E324" s="142"/>
      <c r="F324" s="142"/>
      <c r="G324" s="142"/>
      <c r="H324" s="142"/>
      <c r="I324" s="142"/>
      <c r="J324" s="142"/>
      <c r="K324" s="142"/>
      <c r="L324" s="142"/>
      <c r="M324" s="142"/>
      <c r="N324" s="142"/>
      <c r="O324" s="142"/>
      <c r="P324" s="142"/>
      <c r="Q324" s="142"/>
      <c r="R324" s="28"/>
    </row>
    <row r="325" spans="2:18" x14ac:dyDescent="0.25">
      <c r="B325" s="27"/>
      <c r="C325" s="142"/>
      <c r="D325" s="142"/>
      <c r="E325" s="142"/>
      <c r="F325" s="142"/>
      <c r="G325" s="142"/>
      <c r="H325" s="142"/>
      <c r="I325" s="142"/>
      <c r="J325" s="142"/>
      <c r="K325" s="142"/>
      <c r="L325" s="142"/>
      <c r="M325" s="142"/>
      <c r="N325" s="142"/>
      <c r="O325" s="142"/>
      <c r="P325" s="142"/>
      <c r="Q325" s="142"/>
      <c r="R325" s="28"/>
    </row>
    <row r="326" spans="2:18" x14ac:dyDescent="0.25">
      <c r="B326" s="27"/>
      <c r="C326" s="142"/>
      <c r="D326" s="142"/>
      <c r="E326" s="142"/>
      <c r="F326" s="142"/>
      <c r="G326" s="142"/>
      <c r="H326" s="142"/>
      <c r="I326" s="142"/>
      <c r="J326" s="142"/>
      <c r="K326" s="142"/>
      <c r="L326" s="142"/>
      <c r="M326" s="142"/>
      <c r="N326" s="142"/>
      <c r="O326" s="142"/>
      <c r="P326" s="142"/>
      <c r="Q326" s="142"/>
      <c r="R326" s="28"/>
    </row>
    <row r="327" spans="2:18" x14ac:dyDescent="0.25">
      <c r="B327" s="27"/>
      <c r="C327" s="142"/>
      <c r="D327" s="142"/>
      <c r="E327" s="142"/>
      <c r="F327" s="142"/>
      <c r="G327" s="142"/>
      <c r="H327" s="142"/>
      <c r="I327" s="142"/>
      <c r="J327" s="142"/>
      <c r="K327" s="142"/>
      <c r="L327" s="142"/>
      <c r="M327" s="142"/>
      <c r="N327" s="142"/>
      <c r="O327" s="142"/>
      <c r="P327" s="142"/>
      <c r="Q327" s="142"/>
      <c r="R327" s="28"/>
    </row>
    <row r="328" spans="2:18" x14ac:dyDescent="0.25">
      <c r="B328" s="27"/>
      <c r="C328" s="142"/>
      <c r="D328" s="142"/>
      <c r="E328" s="142"/>
      <c r="F328" s="142"/>
      <c r="G328" s="142"/>
      <c r="H328" s="142"/>
      <c r="I328" s="142"/>
      <c r="J328" s="142"/>
      <c r="K328" s="142"/>
      <c r="L328" s="142"/>
      <c r="M328" s="142"/>
      <c r="N328" s="142"/>
      <c r="O328" s="142"/>
      <c r="P328" s="142"/>
      <c r="Q328" s="142"/>
      <c r="R328" s="28"/>
    </row>
    <row r="329" spans="2:18" x14ac:dyDescent="0.25">
      <c r="B329" s="27"/>
      <c r="C329" s="142"/>
      <c r="D329" s="142"/>
      <c r="E329" s="142"/>
      <c r="F329" s="142"/>
      <c r="G329" s="142"/>
      <c r="H329" s="142"/>
      <c r="I329" s="142"/>
      <c r="J329" s="142"/>
      <c r="K329" s="142"/>
      <c r="L329" s="142"/>
      <c r="M329" s="142"/>
      <c r="N329" s="142"/>
      <c r="O329" s="142"/>
      <c r="P329" s="142"/>
      <c r="Q329" s="142"/>
      <c r="R329" s="28"/>
    </row>
    <row r="330" spans="2:18" x14ac:dyDescent="0.25">
      <c r="B330" s="27"/>
      <c r="C330" s="142"/>
      <c r="D330" s="142"/>
      <c r="E330" s="142"/>
      <c r="F330" s="142"/>
      <c r="G330" s="142"/>
      <c r="H330" s="142"/>
      <c r="I330" s="142"/>
      <c r="J330" s="142"/>
      <c r="K330" s="142"/>
      <c r="L330" s="142"/>
      <c r="M330" s="142"/>
      <c r="N330" s="142"/>
      <c r="O330" s="142"/>
      <c r="P330" s="142"/>
      <c r="Q330" s="142"/>
      <c r="R330" s="28"/>
    </row>
    <row r="331" spans="2:18" x14ac:dyDescent="0.25">
      <c r="B331" s="27"/>
      <c r="C331" s="142"/>
      <c r="D331" s="142"/>
      <c r="E331" s="142"/>
      <c r="F331" s="142"/>
      <c r="G331" s="142"/>
      <c r="H331" s="142"/>
      <c r="I331" s="142"/>
      <c r="J331" s="142"/>
      <c r="K331" s="142"/>
      <c r="L331" s="142"/>
      <c r="M331" s="142"/>
      <c r="N331" s="142"/>
      <c r="O331" s="142"/>
      <c r="P331" s="142"/>
      <c r="Q331" s="142"/>
      <c r="R331" s="28"/>
    </row>
    <row r="332" spans="2:18" x14ac:dyDescent="0.25">
      <c r="B332" s="27"/>
      <c r="C332" s="142"/>
      <c r="D332" s="142"/>
      <c r="E332" s="142"/>
      <c r="F332" s="142"/>
      <c r="G332" s="142"/>
      <c r="H332" s="142"/>
      <c r="I332" s="142"/>
      <c r="J332" s="142"/>
      <c r="K332" s="142"/>
      <c r="L332" s="142"/>
      <c r="M332" s="142"/>
      <c r="N332" s="142"/>
      <c r="O332" s="142"/>
      <c r="P332" s="142"/>
      <c r="Q332" s="142"/>
      <c r="R332" s="28"/>
    </row>
    <row r="333" spans="2:18" x14ac:dyDescent="0.25">
      <c r="B333" s="27"/>
      <c r="C333" s="142"/>
      <c r="D333" s="142"/>
      <c r="E333" s="142"/>
      <c r="F333" s="142"/>
      <c r="G333" s="142"/>
      <c r="H333" s="142"/>
      <c r="I333" s="142"/>
      <c r="J333" s="142"/>
      <c r="K333" s="142"/>
      <c r="L333" s="142"/>
      <c r="M333" s="142"/>
      <c r="N333" s="142"/>
      <c r="O333" s="142"/>
      <c r="P333" s="142"/>
      <c r="Q333" s="142"/>
      <c r="R333" s="28"/>
    </row>
    <row r="334" spans="2:18" x14ac:dyDescent="0.25">
      <c r="B334" s="27"/>
      <c r="C334" s="142"/>
      <c r="D334" s="142"/>
      <c r="E334" s="142"/>
      <c r="F334" s="142"/>
      <c r="G334" s="142"/>
      <c r="H334" s="142"/>
      <c r="I334" s="142"/>
      <c r="J334" s="142"/>
      <c r="K334" s="142"/>
      <c r="L334" s="142"/>
      <c r="M334" s="142"/>
      <c r="N334" s="142"/>
      <c r="O334" s="142"/>
      <c r="P334" s="142"/>
      <c r="Q334" s="142"/>
      <c r="R334" s="28"/>
    </row>
    <row r="335" spans="2:18" x14ac:dyDescent="0.25">
      <c r="B335" s="27"/>
      <c r="C335" s="142"/>
      <c r="D335" s="142"/>
      <c r="E335" s="142"/>
      <c r="F335" s="142"/>
      <c r="G335" s="142"/>
      <c r="H335" s="142"/>
      <c r="I335" s="142"/>
      <c r="J335" s="142"/>
      <c r="K335" s="142"/>
      <c r="L335" s="142"/>
      <c r="M335" s="142"/>
      <c r="N335" s="142"/>
      <c r="O335" s="142"/>
      <c r="P335" s="142"/>
      <c r="Q335" s="142"/>
      <c r="R335" s="28"/>
    </row>
    <row r="336" spans="2:18" x14ac:dyDescent="0.25">
      <c r="B336" s="27"/>
      <c r="C336" s="142"/>
      <c r="D336" s="142"/>
      <c r="E336" s="142"/>
      <c r="F336" s="142"/>
      <c r="G336" s="142"/>
      <c r="H336" s="142"/>
      <c r="I336" s="142"/>
      <c r="J336" s="142"/>
      <c r="K336" s="142"/>
      <c r="L336" s="142"/>
      <c r="M336" s="142"/>
      <c r="N336" s="142"/>
      <c r="O336" s="142"/>
      <c r="P336" s="142"/>
      <c r="Q336" s="142"/>
      <c r="R336" s="28"/>
    </row>
    <row r="337" spans="2:27" x14ac:dyDescent="0.25">
      <c r="B337" s="27"/>
      <c r="C337" s="142"/>
      <c r="D337" s="142"/>
      <c r="E337" s="142"/>
      <c r="F337" s="142"/>
      <c r="G337" s="142"/>
      <c r="H337" s="142"/>
      <c r="I337" s="142"/>
      <c r="J337" s="142"/>
      <c r="K337" s="142"/>
      <c r="L337" s="142"/>
      <c r="M337" s="142"/>
      <c r="N337" s="142"/>
      <c r="O337" s="142"/>
      <c r="P337" s="142"/>
      <c r="Q337" s="142"/>
      <c r="R337" s="28"/>
    </row>
    <row r="338" spans="2:27" x14ac:dyDescent="0.25">
      <c r="B338" s="27"/>
      <c r="C338" s="142"/>
      <c r="D338" s="142"/>
      <c r="E338" s="142"/>
      <c r="F338" s="142"/>
      <c r="G338" s="142"/>
      <c r="H338" s="142"/>
      <c r="I338" s="142"/>
      <c r="J338" s="142"/>
      <c r="K338" s="142"/>
      <c r="L338" s="142"/>
      <c r="M338" s="142"/>
      <c r="N338" s="142"/>
      <c r="O338" s="142"/>
      <c r="P338" s="142"/>
      <c r="Q338" s="142"/>
      <c r="R338" s="28"/>
    </row>
    <row r="339" spans="2:27" x14ac:dyDescent="0.25">
      <c r="B339" s="27"/>
      <c r="C339" s="142"/>
      <c r="D339" s="142"/>
      <c r="E339" s="142"/>
      <c r="F339" s="142"/>
      <c r="G339" s="142"/>
      <c r="H339" s="142"/>
      <c r="I339" s="142"/>
      <c r="J339" s="142"/>
      <c r="K339" s="142"/>
      <c r="L339" s="142"/>
      <c r="M339" s="142"/>
      <c r="N339" s="142"/>
      <c r="O339" s="142"/>
      <c r="P339" s="142"/>
      <c r="Q339" s="142"/>
      <c r="R339" s="28"/>
    </row>
    <row r="340" spans="2:27" x14ac:dyDescent="0.25">
      <c r="B340" s="30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2"/>
    </row>
    <row r="341" spans="2:27" x14ac:dyDescent="0.25">
      <c r="B341" s="24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6"/>
      <c r="T341" t="s">
        <v>116</v>
      </c>
    </row>
    <row r="342" spans="2:27" x14ac:dyDescent="0.25">
      <c r="B342" s="27"/>
      <c r="C342" s="142" t="s">
        <v>215</v>
      </c>
      <c r="D342" s="142"/>
      <c r="E342" s="142"/>
      <c r="F342" s="142"/>
      <c r="G342" s="142"/>
      <c r="H342" s="142"/>
      <c r="I342" s="142"/>
      <c r="J342" s="142"/>
      <c r="K342" s="142"/>
      <c r="L342" s="142"/>
      <c r="M342" s="142"/>
      <c r="N342" s="142"/>
      <c r="O342" s="142"/>
      <c r="P342" s="34" t="s">
        <v>107</v>
      </c>
      <c r="Q342" s="142"/>
      <c r="R342" s="28"/>
      <c r="T342" s="96" t="s">
        <v>216</v>
      </c>
      <c r="U342" s="97"/>
      <c r="V342" s="97"/>
      <c r="W342" s="97"/>
      <c r="X342" s="97"/>
      <c r="Y342" s="97"/>
      <c r="Z342" s="97"/>
      <c r="AA342" s="98"/>
    </row>
    <row r="343" spans="2:27" x14ac:dyDescent="0.25">
      <c r="B343" s="27"/>
      <c r="C343" s="67" t="s">
        <v>83</v>
      </c>
      <c r="D343" s="158">
        <v>8.5</v>
      </c>
      <c r="E343" s="142"/>
      <c r="F343" s="142"/>
      <c r="G343" s="142"/>
      <c r="H343" s="142"/>
      <c r="I343" s="142"/>
      <c r="J343" s="142"/>
      <c r="K343" s="142"/>
      <c r="L343" s="142"/>
      <c r="M343" s="142"/>
      <c r="N343" s="142"/>
      <c r="O343" s="142"/>
      <c r="P343" s="142"/>
      <c r="Q343" s="142"/>
      <c r="R343" s="28"/>
      <c r="T343" s="99"/>
      <c r="U343" s="159"/>
      <c r="V343" s="159"/>
      <c r="W343" s="159"/>
      <c r="X343" s="159"/>
      <c r="Y343" s="159"/>
      <c r="Z343" s="159"/>
      <c r="AA343" s="101"/>
    </row>
    <row r="344" spans="2:27" x14ac:dyDescent="0.25">
      <c r="B344" s="27"/>
      <c r="C344" s="23"/>
      <c r="D344" s="158">
        <v>7</v>
      </c>
      <c r="E344" s="142"/>
      <c r="F344" s="142"/>
      <c r="G344" s="142"/>
      <c r="H344" s="142"/>
      <c r="I344" s="142"/>
      <c r="J344" s="142"/>
      <c r="K344" s="142"/>
      <c r="L344" s="142"/>
      <c r="M344" s="142"/>
      <c r="N344" s="142"/>
      <c r="O344" s="142"/>
      <c r="P344" s="142"/>
      <c r="Q344" s="142"/>
      <c r="R344" s="28"/>
      <c r="T344" s="99"/>
      <c r="U344" s="159"/>
      <c r="V344" s="159"/>
      <c r="W344" s="159"/>
      <c r="X344" s="159"/>
      <c r="Y344" s="159"/>
      <c r="Z344" s="159"/>
      <c r="AA344" s="101"/>
    </row>
    <row r="345" spans="2:27" x14ac:dyDescent="0.25">
      <c r="B345" s="27"/>
      <c r="C345" s="23"/>
      <c r="D345" s="158">
        <v>9.1999999999999993</v>
      </c>
      <c r="E345" s="142"/>
      <c r="F345" s="142"/>
      <c r="G345" s="142"/>
      <c r="H345" s="142"/>
      <c r="I345" s="142"/>
      <c r="J345" s="142"/>
      <c r="K345" s="142"/>
      <c r="L345" s="142"/>
      <c r="M345" s="142"/>
      <c r="N345" s="142"/>
      <c r="O345" s="142"/>
      <c r="P345" s="142"/>
      <c r="Q345" s="142"/>
      <c r="R345" s="28"/>
      <c r="T345" s="99"/>
      <c r="U345" s="159"/>
      <c r="V345" s="159"/>
      <c r="W345" s="159"/>
      <c r="X345" s="159"/>
      <c r="Y345" s="159"/>
      <c r="Z345" s="159"/>
      <c r="AA345" s="101"/>
    </row>
    <row r="346" spans="2:27" x14ac:dyDescent="0.25">
      <c r="B346" s="27"/>
      <c r="C346" s="23"/>
      <c r="D346" s="158">
        <v>7.6</v>
      </c>
      <c r="E346" s="142"/>
      <c r="F346" s="142"/>
      <c r="G346" s="142"/>
      <c r="H346" s="142"/>
      <c r="I346" s="142"/>
      <c r="J346" s="142"/>
      <c r="K346" s="142"/>
      <c r="L346" s="142"/>
      <c r="M346" s="142"/>
      <c r="N346" s="142"/>
      <c r="O346" s="142"/>
      <c r="P346" s="142"/>
      <c r="Q346" s="142"/>
      <c r="R346" s="28"/>
      <c r="T346" s="102"/>
      <c r="U346" s="103"/>
      <c r="V346" s="103"/>
      <c r="W346" s="103"/>
      <c r="X346" s="103"/>
      <c r="Y346" s="103"/>
      <c r="Z346" s="103"/>
      <c r="AA346" s="104"/>
    </row>
    <row r="347" spans="2:27" x14ac:dyDescent="0.25">
      <c r="B347" s="30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2"/>
    </row>
    <row r="348" spans="2:27" x14ac:dyDescent="0.25">
      <c r="B348" s="24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6"/>
    </row>
    <row r="349" spans="2:27" x14ac:dyDescent="0.25">
      <c r="B349" s="27"/>
      <c r="C349" s="142" t="s">
        <v>217</v>
      </c>
      <c r="D349" s="142"/>
      <c r="E349" s="142"/>
      <c r="F349" s="142"/>
      <c r="G349" s="142"/>
      <c r="H349" s="142"/>
      <c r="I349" s="142"/>
      <c r="J349" s="142"/>
      <c r="K349" s="142"/>
      <c r="L349" s="142"/>
      <c r="M349" s="142"/>
      <c r="N349" s="142"/>
      <c r="O349" s="142"/>
      <c r="P349" s="34" t="s">
        <v>107</v>
      </c>
      <c r="Q349" s="142"/>
      <c r="R349" s="28"/>
    </row>
    <row r="350" spans="2:27" x14ac:dyDescent="0.25">
      <c r="B350" s="27"/>
      <c r="C350" s="142"/>
      <c r="D350" s="142"/>
      <c r="E350" s="142"/>
      <c r="F350" s="142"/>
      <c r="G350" s="142"/>
      <c r="H350" s="142"/>
      <c r="I350" s="142"/>
      <c r="J350" s="142"/>
      <c r="K350" s="142"/>
      <c r="L350" s="142"/>
      <c r="M350" s="142"/>
      <c r="N350" s="142"/>
      <c r="O350" s="142"/>
      <c r="P350" s="142"/>
      <c r="Q350" s="142"/>
      <c r="R350" s="28"/>
    </row>
    <row r="351" spans="2:27" x14ac:dyDescent="0.25">
      <c r="B351" s="27"/>
      <c r="C351" s="23"/>
      <c r="D351" s="158">
        <v>0</v>
      </c>
      <c r="E351" s="142"/>
      <c r="F351" s="142"/>
      <c r="G351" s="142"/>
      <c r="H351" s="142"/>
      <c r="I351" s="142"/>
      <c r="J351" s="142"/>
      <c r="K351" s="142"/>
      <c r="L351" s="142"/>
      <c r="M351" s="142"/>
      <c r="N351" s="142"/>
      <c r="O351" s="142"/>
      <c r="P351" s="142"/>
      <c r="Q351" s="142"/>
      <c r="R351" s="28"/>
    </row>
    <row r="352" spans="2:27" x14ac:dyDescent="0.25">
      <c r="B352" s="27"/>
      <c r="C352" s="23"/>
      <c r="D352" s="158">
        <v>5.6</v>
      </c>
      <c r="E352" s="142"/>
      <c r="F352" s="142"/>
      <c r="G352" s="142"/>
      <c r="H352" s="142"/>
      <c r="I352" s="142"/>
      <c r="J352" s="142"/>
      <c r="K352" s="142"/>
      <c r="L352" s="142"/>
      <c r="M352" s="142"/>
      <c r="N352" s="142"/>
      <c r="O352" s="142"/>
      <c r="P352" s="142"/>
      <c r="Q352" s="142"/>
      <c r="R352" s="28"/>
    </row>
    <row r="353" spans="2:18" x14ac:dyDescent="0.25">
      <c r="B353" s="27"/>
      <c r="C353" s="67" t="s">
        <v>83</v>
      </c>
      <c r="D353" s="158">
        <v>7.1</v>
      </c>
      <c r="E353" s="142"/>
      <c r="F353" s="142"/>
      <c r="G353" s="142"/>
      <c r="H353" s="142"/>
      <c r="I353" s="142"/>
      <c r="J353" s="142"/>
      <c r="K353" s="142"/>
      <c r="L353" s="142"/>
      <c r="M353" s="142"/>
      <c r="N353" s="142"/>
      <c r="O353" s="142"/>
      <c r="P353" s="142"/>
      <c r="Q353" s="142"/>
      <c r="R353" s="28"/>
    </row>
    <row r="354" spans="2:18" x14ac:dyDescent="0.25">
      <c r="B354" s="27"/>
      <c r="C354" s="23"/>
      <c r="D354" s="158">
        <v>10</v>
      </c>
      <c r="E354" s="142"/>
      <c r="F354" s="142"/>
      <c r="G354" s="142"/>
      <c r="H354" s="142"/>
      <c r="I354" s="142"/>
      <c r="J354" s="142"/>
      <c r="K354" s="142"/>
      <c r="L354" s="142"/>
      <c r="M354" s="142"/>
      <c r="N354" s="142"/>
      <c r="O354" s="142"/>
      <c r="P354" s="142"/>
      <c r="Q354" s="142"/>
      <c r="R354" s="28"/>
    </row>
    <row r="355" spans="2:18" x14ac:dyDescent="0.25">
      <c r="B355" s="30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2"/>
    </row>
  </sheetData>
  <mergeCells count="74">
    <mergeCell ref="C266:Q266"/>
    <mergeCell ref="T262:AA273"/>
    <mergeCell ref="O295:Q310"/>
    <mergeCell ref="T342:AA346"/>
    <mergeCell ref="D258:H258"/>
    <mergeCell ref="T253:AA258"/>
    <mergeCell ref="B260:R260"/>
    <mergeCell ref="C262:Q264"/>
    <mergeCell ref="T238:AA241"/>
    <mergeCell ref="C253:Q253"/>
    <mergeCell ref="D255:H255"/>
    <mergeCell ref="D256:H256"/>
    <mergeCell ref="D257:H257"/>
    <mergeCell ref="C59:Q62"/>
    <mergeCell ref="T59:U59"/>
    <mergeCell ref="T60:AA67"/>
    <mergeCell ref="C70:Q70"/>
    <mergeCell ref="T146:AE166"/>
    <mergeCell ref="T68:U68"/>
    <mergeCell ref="T69:U69"/>
    <mergeCell ref="U56:Z56"/>
    <mergeCell ref="T70:X71"/>
    <mergeCell ref="T83:U83"/>
    <mergeCell ref="T72:AA78"/>
    <mergeCell ref="T80:U80"/>
    <mergeCell ref="T81:U81"/>
    <mergeCell ref="T82:U82"/>
    <mergeCell ref="T58:AB58"/>
    <mergeCell ref="C51:Q52"/>
    <mergeCell ref="D53:Q53"/>
    <mergeCell ref="D54:Q54"/>
    <mergeCell ref="D55:Q55"/>
    <mergeCell ref="D56:Q56"/>
    <mergeCell ref="U52:Z52"/>
    <mergeCell ref="U54:Z54"/>
    <mergeCell ref="T19:AA19"/>
    <mergeCell ref="C40:Q41"/>
    <mergeCell ref="D45:Q45"/>
    <mergeCell ref="D46:Q46"/>
    <mergeCell ref="D47:Q47"/>
    <mergeCell ref="D48:Q48"/>
    <mergeCell ref="T39:AA39"/>
    <mergeCell ref="T40:AA48"/>
    <mergeCell ref="D36:Q36"/>
    <mergeCell ref="D37:Q37"/>
    <mergeCell ref="T33:AB37"/>
    <mergeCell ref="T20:AA30"/>
    <mergeCell ref="T32:AA32"/>
    <mergeCell ref="D30:Q30"/>
    <mergeCell ref="C26:Q26"/>
    <mergeCell ref="C19:Q19"/>
    <mergeCell ref="D34:Q34"/>
    <mergeCell ref="D35:Q35"/>
    <mergeCell ref="C2:O2"/>
    <mergeCell ref="C21:Q23"/>
    <mergeCell ref="D27:Q27"/>
    <mergeCell ref="D28:Q28"/>
    <mergeCell ref="D29:Q29"/>
    <mergeCell ref="B80:R80"/>
    <mergeCell ref="C82:Q83"/>
    <mergeCell ref="T111:AA115"/>
    <mergeCell ref="T84:AA108"/>
    <mergeCell ref="T110:AA110"/>
    <mergeCell ref="T118:AA122"/>
    <mergeCell ref="T117:AA117"/>
    <mergeCell ref="B124:R124"/>
    <mergeCell ref="C126:Q127"/>
    <mergeCell ref="C129:Q129"/>
    <mergeCell ref="T145:AA145"/>
    <mergeCell ref="C131:Q131"/>
    <mergeCell ref="T125:AA125"/>
    <mergeCell ref="T126:AA136"/>
    <mergeCell ref="T139:AA143"/>
    <mergeCell ref="T138:AA138"/>
  </mergeCells>
  <hyperlinks>
    <hyperlink ref="Q20" r:id="rId1" xr:uid="{FD409D06-A693-4322-9D2E-3D2D7D4327EF}"/>
    <hyperlink ref="Q33" r:id="rId2" xr:uid="{5023D26A-602F-420F-AC9E-7ABAFF7F1289}"/>
    <hyperlink ref="Q42" r:id="rId3" xr:uid="{356AB844-DF63-4C7E-8BD4-868D07D56083}"/>
    <hyperlink ref="P42" r:id="rId4" xr:uid="{7CCA1E31-6B84-453C-94FF-0CD7BA08907B}"/>
    <hyperlink ref="Q50" r:id="rId5" xr:uid="{7EC747CC-BE20-459D-9FD4-7BB6B92E1C56}"/>
    <hyperlink ref="P50" r:id="rId6" xr:uid="{86384E9E-6CBB-497B-841D-189D77889621}"/>
    <hyperlink ref="T50" location="Planilha1!A1" display="Resolução" xr:uid="{ACE629E7-2A2F-4904-939D-98AB3F03EE24}"/>
    <hyperlink ref="P63" r:id="rId7" xr:uid="{A9177064-EF91-4A37-B3A3-FC9D3541CCA5}"/>
    <hyperlink ref="Q63" r:id="rId8" xr:uid="{06E4D18A-ECDD-4030-81B5-5CA33B1BA21A}"/>
    <hyperlink ref="T58:AB58" location="'1.c'!A1" display="Resolução:" xr:uid="{AEE9A22C-13C6-44DD-87F8-837FC9E5F918}"/>
    <hyperlink ref="P72" r:id="rId9" xr:uid="{6CD52686-AE79-406B-A7DB-C389903502A7}"/>
    <hyperlink ref="Q72" r:id="rId10" xr:uid="{00B0A18E-D363-4299-929C-36BAE184482C}"/>
    <hyperlink ref="T69:U69" location="'1.c'!A1" display="Resolução:" xr:uid="{50041B9E-D8AD-4DDF-B03C-4A5FEBB0A713}"/>
    <hyperlink ref="P84" r:id="rId11" xr:uid="{722BF55B-EADF-40AC-B825-D9E2CF5305E3}"/>
    <hyperlink ref="P111" r:id="rId12" xr:uid="{9A9BD941-5DD1-4402-953D-46C2D218AB99}"/>
    <hyperlink ref="P118" r:id="rId13" xr:uid="{F1435A02-00EF-44FF-A965-1848FCAF7DBA}"/>
    <hyperlink ref="Q134" r:id="rId14" xr:uid="{990B3967-1697-46CD-83F8-0AD25974A1F5}"/>
    <hyperlink ref="P134" r:id="rId15" xr:uid="{1C8F8C4D-EC1E-4E6A-AE48-D5E05FFDBDCB}"/>
    <hyperlink ref="T125" location="'PARTE 3'!A1" display="'PARTE 3'!A1" xr:uid="{DC715E3E-A287-47CA-ACED-73670F7F605E}"/>
    <hyperlink ref="P139" r:id="rId16" xr:uid="{8472D289-BD09-45F8-ACCC-FFD62EB6C158}"/>
    <hyperlink ref="T138" location="'PARTE 3'!A1" display="'PARTE 3'!A1" xr:uid="{CF3AB9A2-4B2C-4B0F-9804-B845C50FA910}"/>
    <hyperlink ref="T145:AA145" location="Part3!A1" display="Part3!A1" xr:uid="{786F8DCD-05D1-4284-962D-BCD12B85953D}"/>
    <hyperlink ref="P174" r:id="rId17" xr:uid="{528F30D8-A755-4208-8BAD-12626140142D}"/>
    <hyperlink ref="P238" r:id="rId18" xr:uid="{A2D1EB20-7EBC-4D4F-A086-BB81E034C5D7}"/>
    <hyperlink ref="T237" location="Part3!A1" display="Resolução:" xr:uid="{BE1ECDC6-5338-4857-9F93-8E188473B1E3}"/>
    <hyperlink ref="P244" r:id="rId19" xr:uid="{574F42B5-C350-4600-A48D-090DBDA57E4F}"/>
    <hyperlink ref="P254" r:id="rId20" xr:uid="{20C2042F-6D10-41BB-BADC-3DDBC906273E}"/>
    <hyperlink ref="P267" r:id="rId21" xr:uid="{A1BC0F8D-4E37-45FD-8E54-FD966494C06E}"/>
    <hyperlink ref="Q267" r:id="rId22" xr:uid="{0A60F2EC-6FEA-4218-BA10-F54813F13119}"/>
    <hyperlink ref="T261" location="'PARTE 4'!A1" display="'PARTE 4'!A1" xr:uid="{876C54E9-81C4-4FFA-84E7-AD3E919C29A6}"/>
    <hyperlink ref="P276" r:id="rId23" xr:uid="{78B1C064-5BAC-42EB-B4BA-6B509931C204}"/>
    <hyperlink ref="T276" location="Planilha1!A1" display="Planilha1!A1" xr:uid="{7C3198D9-D50A-4FC0-B944-0BBB1182DEB8}"/>
    <hyperlink ref="P284" r:id="rId24" xr:uid="{EAB9208A-5C3F-4E71-B7D0-809FFB93BCE1}"/>
    <hyperlink ref="P342" r:id="rId25" xr:uid="{422C1728-7A69-4C68-B067-423BE169A6D5}"/>
    <hyperlink ref="P349" r:id="rId26" xr:uid="{01E9FEC4-5B7D-4DFC-A73F-1FCEB108DFDD}"/>
  </hyperlinks>
  <pageMargins left="0.511811024" right="0.511811024" top="0.78740157499999996" bottom="0.78740157499999996" header="0.31496062000000002" footer="0.31496062000000002"/>
  <ignoredErrors>
    <ignoredError sqref="AA56 AA52 AA54" formulaRange="1"/>
  </ignoredErrors>
  <drawing r:id="rId2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81B26-60F5-4F1C-9D5B-1F1757AF86E1}">
  <dimension ref="B2:H172"/>
  <sheetViews>
    <sheetView workbookViewId="0">
      <selection activeCell="H49" sqref="H49"/>
    </sheetView>
  </sheetViews>
  <sheetFormatPr defaultRowHeight="15" x14ac:dyDescent="0.25"/>
  <cols>
    <col min="1" max="1" width="3" customWidth="1"/>
    <col min="2" max="2" width="13.140625" customWidth="1"/>
    <col min="3" max="3" width="12.85546875" customWidth="1"/>
    <col min="4" max="4" width="15" customWidth="1"/>
    <col min="5" max="5" width="15.28515625" customWidth="1"/>
    <col min="8" max="8" width="43.140625" customWidth="1"/>
    <col min="14" max="14" width="45" customWidth="1"/>
  </cols>
  <sheetData>
    <row r="2" spans="2:8" ht="30.75" x14ac:dyDescent="0.25">
      <c r="B2" s="7" t="s">
        <v>1</v>
      </c>
      <c r="C2" s="7"/>
      <c r="D2" s="7" t="s">
        <v>3</v>
      </c>
      <c r="E2" s="7"/>
      <c r="H2" s="6" t="s">
        <v>24</v>
      </c>
    </row>
    <row r="3" spans="2:8" x14ac:dyDescent="0.25">
      <c r="B3" s="7" t="s">
        <v>2</v>
      </c>
      <c r="C3" s="7"/>
      <c r="D3" s="7" t="s">
        <v>4</v>
      </c>
      <c r="E3" s="7"/>
      <c r="H3" s="8">
        <f>AVERAGE(C28:C42)</f>
        <v>4.9893333333333345</v>
      </c>
    </row>
    <row r="4" spans="2:8" ht="45.75" x14ac:dyDescent="0.25">
      <c r="B4" s="7" t="s">
        <v>0</v>
      </c>
      <c r="C4" s="7"/>
      <c r="D4" s="7" t="s">
        <v>5</v>
      </c>
      <c r="E4" s="7"/>
      <c r="H4" s="6" t="s">
        <v>25</v>
      </c>
    </row>
    <row r="5" spans="2:8" x14ac:dyDescent="0.25">
      <c r="H5" s="8">
        <f>MIN(C28:C42)</f>
        <v>4.5999999999999996</v>
      </c>
    </row>
    <row r="6" spans="2:8" x14ac:dyDescent="0.25">
      <c r="H6" s="8"/>
    </row>
    <row r="7" spans="2:8" x14ac:dyDescent="0.25">
      <c r="H7" s="8"/>
    </row>
    <row r="8" spans="2:8" x14ac:dyDescent="0.25">
      <c r="H8" s="8"/>
    </row>
    <row r="9" spans="2:8" x14ac:dyDescent="0.25">
      <c r="B9" s="4" t="s">
        <v>6</v>
      </c>
      <c r="G9" t="s">
        <v>8</v>
      </c>
    </row>
    <row r="10" spans="2:8" x14ac:dyDescent="0.25">
      <c r="B10" s="4" t="s">
        <v>7</v>
      </c>
      <c r="G10" s="4" t="s">
        <v>9</v>
      </c>
    </row>
    <row r="11" spans="2:8" ht="15.75" thickBot="1" x14ac:dyDescent="0.3"/>
    <row r="12" spans="2:8" ht="50.25" customHeight="1" thickBot="1" x14ac:dyDescent="0.3">
      <c r="B12" s="1" t="s">
        <v>10</v>
      </c>
      <c r="C12" s="1" t="s">
        <v>11</v>
      </c>
      <c r="D12" s="1" t="s">
        <v>12</v>
      </c>
      <c r="E12" s="1" t="s">
        <v>13</v>
      </c>
    </row>
    <row r="13" spans="2:8" ht="15.75" thickBot="1" x14ac:dyDescent="0.3">
      <c r="B13" s="2">
        <v>1</v>
      </c>
      <c r="C13" s="2">
        <v>4.83</v>
      </c>
      <c r="D13" s="2" t="s">
        <v>14</v>
      </c>
      <c r="E13" s="2" t="s">
        <v>15</v>
      </c>
    </row>
    <row r="14" spans="2:8" ht="15.75" thickBot="1" x14ac:dyDescent="0.3">
      <c r="B14" s="2">
        <v>2</v>
      </c>
      <c r="C14" s="2">
        <v>4.78</v>
      </c>
      <c r="D14" s="2" t="s">
        <v>14</v>
      </c>
      <c r="E14" s="2" t="s">
        <v>15</v>
      </c>
    </row>
    <row r="15" spans="2:8" ht="15.75" thickBot="1" x14ac:dyDescent="0.3">
      <c r="B15" s="2">
        <v>3</v>
      </c>
      <c r="C15" s="2">
        <v>4.5999999999999996</v>
      </c>
      <c r="D15" s="2" t="s">
        <v>14</v>
      </c>
      <c r="E15" s="2" t="s">
        <v>15</v>
      </c>
    </row>
    <row r="16" spans="2:8" ht="15.75" thickBot="1" x14ac:dyDescent="0.3">
      <c r="B16" s="2">
        <v>4</v>
      </c>
      <c r="C16" s="2">
        <v>5.1100000000000003</v>
      </c>
      <c r="D16" s="2" t="s">
        <v>14</v>
      </c>
      <c r="E16" s="2" t="s">
        <v>15</v>
      </c>
    </row>
    <row r="17" spans="2:5" ht="15.75" thickBot="1" x14ac:dyDescent="0.3">
      <c r="B17" s="2">
        <v>5</v>
      </c>
      <c r="C17" s="2">
        <v>5.13</v>
      </c>
      <c r="D17" s="2" t="s">
        <v>14</v>
      </c>
      <c r="E17" s="2" t="s">
        <v>15</v>
      </c>
    </row>
    <row r="18" spans="2:5" ht="15.75" thickBot="1" x14ac:dyDescent="0.3">
      <c r="B18" s="2">
        <v>6</v>
      </c>
      <c r="C18" s="2">
        <v>5.05</v>
      </c>
      <c r="D18" s="2" t="s">
        <v>14</v>
      </c>
      <c r="E18" s="2" t="s">
        <v>15</v>
      </c>
    </row>
    <row r="19" spans="2:5" ht="15.75" thickBot="1" x14ac:dyDescent="0.3">
      <c r="B19" s="2">
        <v>7</v>
      </c>
      <c r="C19" s="2">
        <v>4.7699999999999996</v>
      </c>
      <c r="D19" s="2" t="s">
        <v>14</v>
      </c>
      <c r="E19" s="2" t="s">
        <v>15</v>
      </c>
    </row>
    <row r="20" spans="2:5" ht="15.75" thickBot="1" x14ac:dyDescent="0.3">
      <c r="B20" s="2">
        <v>8</v>
      </c>
      <c r="C20" s="2">
        <v>4.8</v>
      </c>
      <c r="D20" s="2" t="s">
        <v>14</v>
      </c>
      <c r="E20" s="2" t="s">
        <v>16</v>
      </c>
    </row>
    <row r="21" spans="2:5" ht="15.75" thickBot="1" x14ac:dyDescent="0.3">
      <c r="B21" s="2">
        <v>9</v>
      </c>
      <c r="C21" s="2">
        <v>5.0199999999999996</v>
      </c>
      <c r="D21" s="2" t="s">
        <v>14</v>
      </c>
      <c r="E21" s="2" t="s">
        <v>16</v>
      </c>
    </row>
    <row r="22" spans="2:5" ht="15.75" thickBot="1" x14ac:dyDescent="0.3">
      <c r="B22" s="2">
        <v>10</v>
      </c>
      <c r="C22" s="2">
        <v>5.12</v>
      </c>
      <c r="D22" s="2" t="s">
        <v>14</v>
      </c>
      <c r="E22" s="2" t="s">
        <v>16</v>
      </c>
    </row>
    <row r="23" spans="2:5" ht="15.75" thickBot="1" x14ac:dyDescent="0.3">
      <c r="B23" s="2">
        <v>11</v>
      </c>
      <c r="C23" s="2">
        <v>4.9000000000000004</v>
      </c>
      <c r="D23" s="2" t="s">
        <v>14</v>
      </c>
      <c r="E23" s="2" t="s">
        <v>16</v>
      </c>
    </row>
    <row r="24" spans="2:5" ht="15.75" thickBot="1" x14ac:dyDescent="0.3">
      <c r="B24" s="2">
        <v>12</v>
      </c>
      <c r="C24" s="2">
        <v>5.13</v>
      </c>
      <c r="D24" s="2" t="s">
        <v>14</v>
      </c>
      <c r="E24" s="2" t="s">
        <v>16</v>
      </c>
    </row>
    <row r="25" spans="2:5" ht="15.75" thickBot="1" x14ac:dyDescent="0.3">
      <c r="B25" s="2">
        <v>13</v>
      </c>
      <c r="C25" s="2">
        <v>4.57</v>
      </c>
      <c r="D25" s="2" t="s">
        <v>14</v>
      </c>
      <c r="E25" s="2" t="s">
        <v>16</v>
      </c>
    </row>
    <row r="26" spans="2:5" ht="15.75" thickBot="1" x14ac:dyDescent="0.3">
      <c r="B26" s="2">
        <v>14</v>
      </c>
      <c r="C26" s="2">
        <v>5</v>
      </c>
      <c r="D26" s="2" t="s">
        <v>14</v>
      </c>
      <c r="E26" s="2" t="s">
        <v>16</v>
      </c>
    </row>
    <row r="27" spans="2:5" ht="15.75" thickBot="1" x14ac:dyDescent="0.3">
      <c r="B27" s="2">
        <v>15</v>
      </c>
      <c r="C27" s="2">
        <v>4.9000000000000004</v>
      </c>
      <c r="D27" s="2" t="s">
        <v>14</v>
      </c>
      <c r="E27" s="2" t="s">
        <v>16</v>
      </c>
    </row>
    <row r="28" spans="2:5" ht="15.75" thickBot="1" x14ac:dyDescent="0.3">
      <c r="B28" s="2">
        <v>16</v>
      </c>
      <c r="C28" s="2">
        <v>5.27</v>
      </c>
      <c r="D28" s="2" t="s">
        <v>17</v>
      </c>
      <c r="E28" s="2" t="s">
        <v>15</v>
      </c>
    </row>
    <row r="29" spans="2:5" ht="15.75" thickBot="1" x14ac:dyDescent="0.3">
      <c r="B29" s="2">
        <v>17</v>
      </c>
      <c r="C29" s="2">
        <v>5</v>
      </c>
      <c r="D29" s="2" t="s">
        <v>17</v>
      </c>
      <c r="E29" s="2" t="s">
        <v>15</v>
      </c>
    </row>
    <row r="30" spans="2:5" ht="15.75" thickBot="1" x14ac:dyDescent="0.3">
      <c r="B30" s="2">
        <v>18</v>
      </c>
      <c r="C30" s="2">
        <v>4.83</v>
      </c>
      <c r="D30" s="2" t="s">
        <v>17</v>
      </c>
      <c r="E30" s="2" t="s">
        <v>15</v>
      </c>
    </row>
    <row r="31" spans="2:5" ht="15.75" thickBot="1" x14ac:dyDescent="0.3">
      <c r="B31" s="2">
        <v>19</v>
      </c>
      <c r="C31" s="2">
        <v>5.03</v>
      </c>
      <c r="D31" s="2" t="s">
        <v>17</v>
      </c>
      <c r="E31" s="2" t="s">
        <v>15</v>
      </c>
    </row>
    <row r="32" spans="2:5" ht="15.75" thickBot="1" x14ac:dyDescent="0.3">
      <c r="B32" s="2">
        <v>20</v>
      </c>
      <c r="C32" s="2">
        <v>4.5999999999999996</v>
      </c>
      <c r="D32" s="2" t="s">
        <v>17</v>
      </c>
      <c r="E32" s="2" t="s">
        <v>15</v>
      </c>
    </row>
    <row r="33" spans="2:5" ht="15.75" thickBot="1" x14ac:dyDescent="0.3">
      <c r="B33" s="2">
        <v>21</v>
      </c>
      <c r="C33" s="2">
        <v>5.0199999999999996</v>
      </c>
      <c r="D33" s="2" t="s">
        <v>17</v>
      </c>
      <c r="E33" s="2" t="s">
        <v>15</v>
      </c>
    </row>
    <row r="34" spans="2:5" ht="15.75" thickBot="1" x14ac:dyDescent="0.3">
      <c r="B34" s="2">
        <v>22</v>
      </c>
      <c r="C34" s="2">
        <v>5.12</v>
      </c>
      <c r="D34" s="2" t="s">
        <v>17</v>
      </c>
      <c r="E34" s="2" t="s">
        <v>16</v>
      </c>
    </row>
    <row r="35" spans="2:5" ht="15.75" thickBot="1" x14ac:dyDescent="0.3">
      <c r="B35" s="2">
        <v>23</v>
      </c>
      <c r="C35" s="2">
        <v>5.07</v>
      </c>
      <c r="D35" s="2" t="s">
        <v>17</v>
      </c>
      <c r="E35" s="2" t="s">
        <v>16</v>
      </c>
    </row>
    <row r="36" spans="2:5" ht="15.75" thickBot="1" x14ac:dyDescent="0.3">
      <c r="B36" s="2">
        <v>24</v>
      </c>
      <c r="C36" s="2">
        <v>4.97</v>
      </c>
      <c r="D36" s="2" t="s">
        <v>17</v>
      </c>
      <c r="E36" s="2" t="s">
        <v>16</v>
      </c>
    </row>
    <row r="37" spans="2:5" ht="15.75" thickBot="1" x14ac:dyDescent="0.3">
      <c r="B37" s="2">
        <v>25</v>
      </c>
      <c r="C37" s="2">
        <v>5.23</v>
      </c>
      <c r="D37" s="2" t="s">
        <v>17</v>
      </c>
      <c r="E37" s="2" t="s">
        <v>16</v>
      </c>
    </row>
    <row r="38" spans="2:5" ht="15.75" thickBot="1" x14ac:dyDescent="0.3">
      <c r="B38" s="2">
        <v>26</v>
      </c>
      <c r="C38" s="2">
        <v>4.68</v>
      </c>
      <c r="D38" s="2" t="s">
        <v>17</v>
      </c>
      <c r="E38" s="2" t="s">
        <v>16</v>
      </c>
    </row>
    <row r="39" spans="2:5" ht="15.75" thickBot="1" x14ac:dyDescent="0.3">
      <c r="B39" s="2">
        <v>27</v>
      </c>
      <c r="C39" s="2">
        <v>4.99</v>
      </c>
      <c r="D39" s="2" t="s">
        <v>17</v>
      </c>
      <c r="E39" s="2" t="s">
        <v>16</v>
      </c>
    </row>
    <row r="40" spans="2:5" ht="15.75" thickBot="1" x14ac:dyDescent="0.3">
      <c r="B40" s="2">
        <v>28</v>
      </c>
      <c r="C40" s="2">
        <v>4.93</v>
      </c>
      <c r="D40" s="2" t="s">
        <v>17</v>
      </c>
      <c r="E40" s="2" t="s">
        <v>16</v>
      </c>
    </row>
    <row r="41" spans="2:5" ht="15.75" thickBot="1" x14ac:dyDescent="0.3">
      <c r="B41" s="2">
        <v>29</v>
      </c>
      <c r="C41" s="2">
        <v>4.79</v>
      </c>
      <c r="D41" s="2" t="s">
        <v>17</v>
      </c>
      <c r="E41" s="2" t="s">
        <v>16</v>
      </c>
    </row>
    <row r="42" spans="2:5" ht="15.75" thickBot="1" x14ac:dyDescent="0.3">
      <c r="B42" s="2">
        <v>30</v>
      </c>
      <c r="C42" s="2">
        <v>5.31</v>
      </c>
      <c r="D42" s="2" t="s">
        <v>17</v>
      </c>
      <c r="E42" s="2" t="s">
        <v>16</v>
      </c>
    </row>
    <row r="43" spans="2:5" ht="15.75" thickBot="1" x14ac:dyDescent="0.3">
      <c r="B43" s="2">
        <v>31</v>
      </c>
      <c r="C43" s="2">
        <v>5.07</v>
      </c>
      <c r="D43" s="2" t="s">
        <v>18</v>
      </c>
      <c r="E43" s="2" t="s">
        <v>15</v>
      </c>
    </row>
    <row r="44" spans="2:5" ht="15.75" thickBot="1" x14ac:dyDescent="0.3">
      <c r="B44" s="2">
        <v>32</v>
      </c>
      <c r="C44" s="2">
        <v>4.87</v>
      </c>
      <c r="D44" s="2" t="s">
        <v>18</v>
      </c>
      <c r="E44" s="2" t="s">
        <v>15</v>
      </c>
    </row>
    <row r="45" spans="2:5" ht="15.75" thickBot="1" x14ac:dyDescent="0.3">
      <c r="B45" s="2">
        <v>33</v>
      </c>
      <c r="C45" s="2">
        <v>5.3</v>
      </c>
      <c r="D45" s="2" t="s">
        <v>18</v>
      </c>
      <c r="E45" s="2" t="s">
        <v>15</v>
      </c>
    </row>
    <row r="46" spans="2:5" ht="15.75" thickBot="1" x14ac:dyDescent="0.3">
      <c r="B46" s="2">
        <v>34</v>
      </c>
      <c r="C46" s="2">
        <v>5.1100000000000003</v>
      </c>
      <c r="D46" s="2" t="s">
        <v>18</v>
      </c>
      <c r="E46" s="2" t="s">
        <v>15</v>
      </c>
    </row>
    <row r="47" spans="2:5" ht="15.75" thickBot="1" x14ac:dyDescent="0.3">
      <c r="B47" s="2">
        <v>35</v>
      </c>
      <c r="C47" s="2">
        <v>5.09</v>
      </c>
      <c r="D47" s="2" t="s">
        <v>18</v>
      </c>
      <c r="E47" s="2" t="s">
        <v>15</v>
      </c>
    </row>
    <row r="48" spans="2:5" ht="15.75" thickBot="1" x14ac:dyDescent="0.3">
      <c r="B48" s="2">
        <v>36</v>
      </c>
      <c r="C48" s="2">
        <v>5.55</v>
      </c>
      <c r="D48" s="2" t="s">
        <v>18</v>
      </c>
      <c r="E48" s="2" t="s">
        <v>15</v>
      </c>
    </row>
    <row r="49" spans="2:5" ht="15.75" thickBot="1" x14ac:dyDescent="0.3">
      <c r="B49" s="2">
        <v>37</v>
      </c>
      <c r="C49" s="2">
        <v>4.82</v>
      </c>
      <c r="D49" s="2" t="s">
        <v>18</v>
      </c>
      <c r="E49" s="2" t="s">
        <v>15</v>
      </c>
    </row>
    <row r="50" spans="2:5" ht="15.75" thickBot="1" x14ac:dyDescent="0.3">
      <c r="B50" s="2">
        <v>38</v>
      </c>
      <c r="C50" s="2">
        <v>4.7</v>
      </c>
      <c r="D50" s="2" t="s">
        <v>18</v>
      </c>
      <c r="E50" s="2" t="s">
        <v>16</v>
      </c>
    </row>
    <row r="51" spans="2:5" ht="15.75" thickBot="1" x14ac:dyDescent="0.3">
      <c r="B51" s="2">
        <v>39</v>
      </c>
      <c r="C51" s="2">
        <v>5.18</v>
      </c>
      <c r="D51" s="2" t="s">
        <v>18</v>
      </c>
      <c r="E51" s="2" t="s">
        <v>16</v>
      </c>
    </row>
    <row r="52" spans="2:5" ht="15.75" thickBot="1" x14ac:dyDescent="0.3">
      <c r="B52" s="2">
        <v>40</v>
      </c>
      <c r="C52" s="2">
        <v>5.16</v>
      </c>
      <c r="D52" s="2" t="s">
        <v>18</v>
      </c>
      <c r="E52" s="2" t="s">
        <v>16</v>
      </c>
    </row>
    <row r="53" spans="2:5" ht="15.75" thickBot="1" x14ac:dyDescent="0.3">
      <c r="B53" s="2">
        <v>41</v>
      </c>
      <c r="C53" s="2">
        <v>5.22</v>
      </c>
      <c r="D53" s="2" t="s">
        <v>18</v>
      </c>
      <c r="E53" s="2" t="s">
        <v>16</v>
      </c>
    </row>
    <row r="54" spans="2:5" ht="15.75" thickBot="1" x14ac:dyDescent="0.3">
      <c r="B54" s="2">
        <v>42</v>
      </c>
      <c r="C54" s="2">
        <v>5.36</v>
      </c>
      <c r="D54" s="2" t="s">
        <v>18</v>
      </c>
      <c r="E54" s="2" t="s">
        <v>16</v>
      </c>
    </row>
    <row r="55" spans="2:5" ht="15.75" thickBot="1" x14ac:dyDescent="0.3">
      <c r="B55" s="2">
        <v>43</v>
      </c>
      <c r="C55" s="2">
        <v>5.3</v>
      </c>
      <c r="D55" s="2" t="s">
        <v>18</v>
      </c>
      <c r="E55" s="2" t="s">
        <v>16</v>
      </c>
    </row>
    <row r="56" spans="2:5" ht="15.75" thickBot="1" x14ac:dyDescent="0.3">
      <c r="B56" s="2">
        <v>44</v>
      </c>
      <c r="C56" s="2">
        <v>5.51</v>
      </c>
      <c r="D56" s="2" t="s">
        <v>18</v>
      </c>
      <c r="E56" s="2" t="s">
        <v>16</v>
      </c>
    </row>
    <row r="57" spans="2:5" ht="15.75" thickBot="1" x14ac:dyDescent="0.3">
      <c r="B57" s="2">
        <v>45</v>
      </c>
      <c r="C57" s="2">
        <v>5.15</v>
      </c>
      <c r="D57" s="2" t="s">
        <v>18</v>
      </c>
      <c r="E57" s="2" t="s">
        <v>16</v>
      </c>
    </row>
    <row r="58" spans="2:5" ht="15.75" thickBot="1" x14ac:dyDescent="0.3">
      <c r="B58" s="2">
        <v>46</v>
      </c>
      <c r="C58" s="2">
        <v>5.18</v>
      </c>
      <c r="D58" s="2" t="s">
        <v>18</v>
      </c>
      <c r="E58" s="2" t="s">
        <v>16</v>
      </c>
    </row>
    <row r="59" spans="2:5" ht="15.75" thickBot="1" x14ac:dyDescent="0.3">
      <c r="B59" s="2">
        <v>47</v>
      </c>
      <c r="C59" s="2">
        <v>5.0999999999999996</v>
      </c>
      <c r="D59" s="2" t="s">
        <v>19</v>
      </c>
      <c r="E59" s="2" t="s">
        <v>15</v>
      </c>
    </row>
    <row r="60" spans="2:5" ht="15.75" thickBot="1" x14ac:dyDescent="0.3">
      <c r="B60" s="2">
        <v>48</v>
      </c>
      <c r="C60" s="2">
        <v>5.29</v>
      </c>
      <c r="D60" s="2" t="s">
        <v>19</v>
      </c>
      <c r="E60" s="2" t="s">
        <v>15</v>
      </c>
    </row>
    <row r="61" spans="2:5" ht="15.75" thickBot="1" x14ac:dyDescent="0.3">
      <c r="B61" s="2">
        <v>49</v>
      </c>
      <c r="C61" s="2">
        <v>5.85</v>
      </c>
      <c r="D61" s="2" t="s">
        <v>19</v>
      </c>
      <c r="E61" s="2" t="s">
        <v>15</v>
      </c>
    </row>
    <row r="62" spans="2:5" ht="15.75" thickBot="1" x14ac:dyDescent="0.3">
      <c r="B62" s="2">
        <v>50</v>
      </c>
      <c r="C62" s="2">
        <v>5.33</v>
      </c>
      <c r="D62" s="2" t="s">
        <v>19</v>
      </c>
      <c r="E62" s="2" t="s">
        <v>15</v>
      </c>
    </row>
    <row r="63" spans="2:5" ht="15.75" thickBot="1" x14ac:dyDescent="0.3">
      <c r="B63" s="2">
        <v>51</v>
      </c>
      <c r="C63" s="2">
        <v>5.0599999999999996</v>
      </c>
      <c r="D63" s="2" t="s">
        <v>19</v>
      </c>
      <c r="E63" s="2" t="s">
        <v>15</v>
      </c>
    </row>
    <row r="64" spans="2:5" ht="15.75" thickBot="1" x14ac:dyDescent="0.3">
      <c r="B64" s="2">
        <v>52</v>
      </c>
      <c r="C64" s="2">
        <v>5.26</v>
      </c>
      <c r="D64" s="2" t="s">
        <v>19</v>
      </c>
      <c r="E64" s="2" t="s">
        <v>15</v>
      </c>
    </row>
    <row r="65" spans="2:5" ht="15.75" thickBot="1" x14ac:dyDescent="0.3">
      <c r="B65" s="2">
        <v>53</v>
      </c>
      <c r="C65" s="2">
        <v>5.51</v>
      </c>
      <c r="D65" s="2" t="s">
        <v>19</v>
      </c>
      <c r="E65" s="2" t="s">
        <v>15</v>
      </c>
    </row>
    <row r="66" spans="2:5" ht="15.75" thickBot="1" x14ac:dyDescent="0.3">
      <c r="B66" s="2">
        <v>54</v>
      </c>
      <c r="C66" s="2">
        <v>5.18</v>
      </c>
      <c r="D66" s="2" t="s">
        <v>19</v>
      </c>
      <c r="E66" s="2" t="s">
        <v>15</v>
      </c>
    </row>
    <row r="67" spans="2:5" ht="15.75" thickBot="1" x14ac:dyDescent="0.3">
      <c r="B67" s="2">
        <v>55</v>
      </c>
      <c r="C67" s="2">
        <v>5.66</v>
      </c>
      <c r="D67" s="2" t="s">
        <v>19</v>
      </c>
      <c r="E67" s="2" t="s">
        <v>15</v>
      </c>
    </row>
    <row r="68" spans="2:5" ht="15.75" thickBot="1" x14ac:dyDescent="0.3">
      <c r="B68" s="2">
        <v>56</v>
      </c>
      <c r="C68" s="2">
        <v>5.1100000000000003</v>
      </c>
      <c r="D68" s="2" t="s">
        <v>19</v>
      </c>
      <c r="E68" s="2" t="s">
        <v>16</v>
      </c>
    </row>
    <row r="69" spans="2:5" ht="15.75" thickBot="1" x14ac:dyDescent="0.3">
      <c r="B69" s="2">
        <v>57</v>
      </c>
      <c r="C69" s="2">
        <v>5.17</v>
      </c>
      <c r="D69" s="2" t="s">
        <v>19</v>
      </c>
      <c r="E69" s="2" t="s">
        <v>16</v>
      </c>
    </row>
    <row r="70" spans="2:5" ht="15.75" thickBot="1" x14ac:dyDescent="0.3">
      <c r="B70" s="2">
        <v>58</v>
      </c>
      <c r="C70" s="2">
        <v>5.61</v>
      </c>
      <c r="D70" s="2" t="s">
        <v>19</v>
      </c>
      <c r="E70" s="2" t="s">
        <v>16</v>
      </c>
    </row>
    <row r="71" spans="2:5" ht="15.75" thickBot="1" x14ac:dyDescent="0.3">
      <c r="B71" s="2">
        <v>59</v>
      </c>
      <c r="C71" s="2">
        <v>5.36</v>
      </c>
      <c r="D71" s="2" t="s">
        <v>19</v>
      </c>
      <c r="E71" s="2" t="s">
        <v>16</v>
      </c>
    </row>
    <row r="72" spans="2:5" ht="15.75" thickBot="1" x14ac:dyDescent="0.3">
      <c r="B72" s="2">
        <v>60</v>
      </c>
      <c r="C72" s="2">
        <v>4.92</v>
      </c>
      <c r="D72" s="2" t="s">
        <v>19</v>
      </c>
      <c r="E72" s="2" t="s">
        <v>16</v>
      </c>
    </row>
    <row r="73" spans="2:5" ht="15.75" thickBot="1" x14ac:dyDescent="0.3">
      <c r="B73" s="1">
        <v>61</v>
      </c>
      <c r="C73" s="1">
        <v>9.49</v>
      </c>
      <c r="D73" s="1" t="s">
        <v>19</v>
      </c>
      <c r="E73" s="1" t="s">
        <v>16</v>
      </c>
    </row>
    <row r="74" spans="2:5" ht="15.75" thickBot="1" x14ac:dyDescent="0.3">
      <c r="B74" s="2">
        <v>62</v>
      </c>
      <c r="C74" s="2">
        <v>5.7</v>
      </c>
      <c r="D74" s="2" t="s">
        <v>19</v>
      </c>
      <c r="E74" s="2" t="s">
        <v>16</v>
      </c>
    </row>
    <row r="75" spans="2:5" ht="15.75" thickBot="1" x14ac:dyDescent="0.3">
      <c r="B75" s="2">
        <v>63</v>
      </c>
      <c r="C75" s="2">
        <v>5.37</v>
      </c>
      <c r="D75" s="2" t="s">
        <v>19</v>
      </c>
      <c r="E75" s="2" t="s">
        <v>16</v>
      </c>
    </row>
    <row r="76" spans="2:5" ht="15.75" thickBot="1" x14ac:dyDescent="0.3">
      <c r="B76" s="2">
        <v>64</v>
      </c>
      <c r="C76" s="2">
        <v>5</v>
      </c>
      <c r="D76" s="2" t="s">
        <v>19</v>
      </c>
      <c r="E76" s="2" t="s">
        <v>16</v>
      </c>
    </row>
    <row r="77" spans="2:5" ht="15.75" thickBot="1" x14ac:dyDescent="0.3">
      <c r="B77" s="2">
        <v>65</v>
      </c>
      <c r="C77" s="2">
        <v>5.62</v>
      </c>
      <c r="D77" s="2" t="s">
        <v>19</v>
      </c>
      <c r="E77" s="2" t="s">
        <v>16</v>
      </c>
    </row>
    <row r="78" spans="2:5" ht="15.75" thickBot="1" x14ac:dyDescent="0.3">
      <c r="B78" s="2">
        <v>66</v>
      </c>
      <c r="C78" s="2">
        <v>4.8099999999999996</v>
      </c>
      <c r="D78" s="2" t="s">
        <v>19</v>
      </c>
      <c r="E78" s="2" t="s">
        <v>16</v>
      </c>
    </row>
    <row r="79" spans="2:5" ht="15.75" thickBot="1" x14ac:dyDescent="0.3">
      <c r="B79" s="2">
        <v>67</v>
      </c>
      <c r="C79" s="2">
        <v>4.71</v>
      </c>
      <c r="D79" s="2" t="s">
        <v>20</v>
      </c>
      <c r="E79" s="2" t="s">
        <v>15</v>
      </c>
    </row>
    <row r="80" spans="2:5" ht="15.75" thickBot="1" x14ac:dyDescent="0.3">
      <c r="B80" s="2">
        <v>68</v>
      </c>
      <c r="C80" s="2">
        <v>4.91</v>
      </c>
      <c r="D80" s="2" t="s">
        <v>20</v>
      </c>
      <c r="E80" s="2" t="s">
        <v>15</v>
      </c>
    </row>
    <row r="81" spans="2:5" ht="15.75" thickBot="1" x14ac:dyDescent="0.3">
      <c r="B81" s="2">
        <v>69</v>
      </c>
      <c r="C81" s="2">
        <v>5.0599999999999996</v>
      </c>
      <c r="D81" s="2" t="s">
        <v>20</v>
      </c>
      <c r="E81" s="2" t="s">
        <v>15</v>
      </c>
    </row>
    <row r="82" spans="2:5" ht="15.75" thickBot="1" x14ac:dyDescent="0.3">
      <c r="B82" s="2">
        <v>70</v>
      </c>
      <c r="C82" s="2">
        <v>4.72</v>
      </c>
      <c r="D82" s="2" t="s">
        <v>20</v>
      </c>
      <c r="E82" s="2" t="s">
        <v>15</v>
      </c>
    </row>
    <row r="83" spans="2:5" ht="15.75" thickBot="1" x14ac:dyDescent="0.3">
      <c r="B83" s="2">
        <v>71</v>
      </c>
      <c r="C83" s="2">
        <v>4.76</v>
      </c>
      <c r="D83" s="2" t="s">
        <v>20</v>
      </c>
      <c r="E83" s="2" t="s">
        <v>15</v>
      </c>
    </row>
    <row r="84" spans="2:5" ht="15.75" thickBot="1" x14ac:dyDescent="0.3">
      <c r="B84" s="2">
        <v>72</v>
      </c>
      <c r="C84" s="2">
        <v>5.12</v>
      </c>
      <c r="D84" s="2" t="s">
        <v>20</v>
      </c>
      <c r="E84" s="2" t="s">
        <v>15</v>
      </c>
    </row>
    <row r="85" spans="2:5" ht="15.75" thickBot="1" x14ac:dyDescent="0.3">
      <c r="B85" s="2">
        <v>73</v>
      </c>
      <c r="C85" s="2">
        <v>4.6500000000000004</v>
      </c>
      <c r="D85" s="2" t="s">
        <v>20</v>
      </c>
      <c r="E85" s="2" t="s">
        <v>15</v>
      </c>
    </row>
    <row r="86" spans="2:5" ht="15.75" thickBot="1" x14ac:dyDescent="0.3">
      <c r="B86" s="2">
        <v>74</v>
      </c>
      <c r="C86" s="2">
        <v>5.51</v>
      </c>
      <c r="D86" s="2" t="s">
        <v>20</v>
      </c>
      <c r="E86" s="2" t="s">
        <v>15</v>
      </c>
    </row>
    <row r="87" spans="2:5" ht="15.75" thickBot="1" x14ac:dyDescent="0.3">
      <c r="B87" s="2">
        <v>75</v>
      </c>
      <c r="C87" s="2">
        <v>5.07</v>
      </c>
      <c r="D87" s="2" t="s">
        <v>20</v>
      </c>
      <c r="E87" s="2" t="s">
        <v>15</v>
      </c>
    </row>
    <row r="88" spans="2:5" ht="15.75" thickBot="1" x14ac:dyDescent="0.3">
      <c r="B88" s="2">
        <v>76</v>
      </c>
      <c r="C88" s="2">
        <v>5.26</v>
      </c>
      <c r="D88" s="2" t="s">
        <v>20</v>
      </c>
      <c r="E88" s="2" t="s">
        <v>15</v>
      </c>
    </row>
    <row r="89" spans="2:5" ht="15.75" thickBot="1" x14ac:dyDescent="0.3">
      <c r="B89" s="2">
        <v>77</v>
      </c>
      <c r="C89" s="2">
        <v>7.02</v>
      </c>
      <c r="D89" s="2" t="s">
        <v>20</v>
      </c>
      <c r="E89" s="2" t="s">
        <v>16</v>
      </c>
    </row>
    <row r="90" spans="2:5" ht="15.75" thickBot="1" x14ac:dyDescent="0.3">
      <c r="B90" s="2">
        <v>78</v>
      </c>
      <c r="C90" s="2">
        <v>6.55</v>
      </c>
      <c r="D90" s="2" t="s">
        <v>20</v>
      </c>
      <c r="E90" s="2" t="s">
        <v>16</v>
      </c>
    </row>
    <row r="91" spans="2:5" ht="15.75" thickBot="1" x14ac:dyDescent="0.3">
      <c r="B91" s="2">
        <v>79</v>
      </c>
      <c r="C91" s="2">
        <v>7.2</v>
      </c>
      <c r="D91" s="2" t="s">
        <v>20</v>
      </c>
      <c r="E91" s="2" t="s">
        <v>16</v>
      </c>
    </row>
    <row r="92" spans="2:5" ht="15.75" thickBot="1" x14ac:dyDescent="0.3">
      <c r="B92" s="2">
        <v>80</v>
      </c>
      <c r="C92" s="2">
        <v>6.83</v>
      </c>
      <c r="D92" s="2" t="s">
        <v>20</v>
      </c>
      <c r="E92" s="2" t="s">
        <v>16</v>
      </c>
    </row>
    <row r="93" spans="2:5" ht="15.75" thickBot="1" x14ac:dyDescent="0.3">
      <c r="B93" s="2">
        <v>81</v>
      </c>
      <c r="C93" s="2">
        <v>7.1</v>
      </c>
      <c r="D93" s="2" t="s">
        <v>20</v>
      </c>
      <c r="E93" s="2" t="s">
        <v>16</v>
      </c>
    </row>
    <row r="94" spans="2:5" ht="15.75" thickBot="1" x14ac:dyDescent="0.3">
      <c r="B94" s="2">
        <v>82</v>
      </c>
      <c r="C94" s="2">
        <v>6.86</v>
      </c>
      <c r="D94" s="2" t="s">
        <v>20</v>
      </c>
      <c r="E94" s="2" t="s">
        <v>16</v>
      </c>
    </row>
    <row r="95" spans="2:5" ht="15.75" thickBot="1" x14ac:dyDescent="0.3">
      <c r="B95" s="2">
        <v>83</v>
      </c>
      <c r="C95" s="2">
        <v>5.5</v>
      </c>
      <c r="D95" s="2" t="s">
        <v>20</v>
      </c>
      <c r="E95" s="2" t="s">
        <v>16</v>
      </c>
    </row>
    <row r="96" spans="2:5" ht="15.75" thickBot="1" x14ac:dyDescent="0.3">
      <c r="B96" s="2">
        <v>84</v>
      </c>
      <c r="C96" s="2">
        <v>6.32</v>
      </c>
      <c r="D96" s="2" t="s">
        <v>20</v>
      </c>
      <c r="E96" s="2" t="s">
        <v>16</v>
      </c>
    </row>
    <row r="97" spans="2:5" ht="15.75" thickBot="1" x14ac:dyDescent="0.3">
      <c r="B97" s="2">
        <v>85</v>
      </c>
      <c r="C97" s="2">
        <v>6.16</v>
      </c>
      <c r="D97" s="2" t="s">
        <v>20</v>
      </c>
      <c r="E97" s="2" t="s">
        <v>16</v>
      </c>
    </row>
    <row r="98" spans="2:5" ht="15.75" thickBot="1" x14ac:dyDescent="0.3">
      <c r="B98" s="2">
        <v>86</v>
      </c>
      <c r="C98" s="2">
        <v>6.31</v>
      </c>
      <c r="D98" s="2" t="s">
        <v>20</v>
      </c>
      <c r="E98" s="2" t="s">
        <v>16</v>
      </c>
    </row>
    <row r="99" spans="2:5" ht="15.75" thickBot="1" x14ac:dyDescent="0.3">
      <c r="B99" s="2">
        <v>87</v>
      </c>
      <c r="C99" s="2">
        <v>6.8</v>
      </c>
      <c r="D99" s="2" t="s">
        <v>20</v>
      </c>
      <c r="E99" s="2" t="s">
        <v>16</v>
      </c>
    </row>
    <row r="100" spans="2:5" ht="15.75" thickBot="1" x14ac:dyDescent="0.3">
      <c r="B100" s="2">
        <v>88</v>
      </c>
      <c r="C100" s="2">
        <v>5.96</v>
      </c>
      <c r="D100" s="2" t="s">
        <v>20</v>
      </c>
      <c r="E100" s="2" t="s">
        <v>16</v>
      </c>
    </row>
    <row r="101" spans="2:5" ht="15.75" thickBot="1" x14ac:dyDescent="0.3">
      <c r="B101" s="2">
        <v>89</v>
      </c>
      <c r="C101" s="2">
        <v>6.5</v>
      </c>
      <c r="D101" s="2" t="s">
        <v>20</v>
      </c>
      <c r="E101" s="2" t="s">
        <v>16</v>
      </c>
    </row>
    <row r="102" spans="2:5" ht="15.75" thickBot="1" x14ac:dyDescent="0.3">
      <c r="B102" s="2">
        <v>90</v>
      </c>
      <c r="C102" s="2">
        <v>6.46</v>
      </c>
      <c r="D102" s="2" t="s">
        <v>20</v>
      </c>
      <c r="E102" s="2" t="s">
        <v>16</v>
      </c>
    </row>
    <row r="103" spans="2:5" ht="15.75" thickBot="1" x14ac:dyDescent="0.3">
      <c r="B103" s="2">
        <v>91</v>
      </c>
      <c r="C103" s="2">
        <v>6.29</v>
      </c>
      <c r="D103" s="2" t="s">
        <v>20</v>
      </c>
      <c r="E103" s="2" t="s">
        <v>16</v>
      </c>
    </row>
    <row r="104" spans="2:5" ht="15.75" thickBot="1" x14ac:dyDescent="0.3">
      <c r="B104" s="2">
        <v>92</v>
      </c>
      <c r="C104" s="2">
        <v>6.25</v>
      </c>
      <c r="D104" s="2" t="s">
        <v>20</v>
      </c>
      <c r="E104" s="2" t="s">
        <v>16</v>
      </c>
    </row>
    <row r="105" spans="2:5" ht="15.75" thickBot="1" x14ac:dyDescent="0.3">
      <c r="B105" s="2">
        <v>93</v>
      </c>
      <c r="C105" s="2">
        <v>7.02</v>
      </c>
      <c r="D105" s="2" t="s">
        <v>20</v>
      </c>
      <c r="E105" s="2" t="s">
        <v>16</v>
      </c>
    </row>
    <row r="106" spans="2:5" ht="15.75" thickBot="1" x14ac:dyDescent="0.3">
      <c r="B106" s="2">
        <v>94</v>
      </c>
      <c r="C106" s="2">
        <v>6.19</v>
      </c>
      <c r="D106" s="2" t="s">
        <v>20</v>
      </c>
      <c r="E106" s="2" t="s">
        <v>16</v>
      </c>
    </row>
    <row r="107" spans="2:5" ht="15.75" thickBot="1" x14ac:dyDescent="0.3">
      <c r="B107" s="2">
        <v>95</v>
      </c>
      <c r="C107" s="2">
        <v>6.16</v>
      </c>
      <c r="D107" s="2" t="s">
        <v>20</v>
      </c>
      <c r="E107" s="2" t="s">
        <v>16</v>
      </c>
    </row>
    <row r="108" spans="2:5" ht="15.75" thickBot="1" x14ac:dyDescent="0.3">
      <c r="B108" s="2">
        <v>96</v>
      </c>
      <c r="C108" s="2">
        <v>6.64</v>
      </c>
      <c r="D108" s="2" t="s">
        <v>20</v>
      </c>
      <c r="E108" s="2" t="s">
        <v>16</v>
      </c>
    </row>
    <row r="109" spans="2:5" ht="15.75" thickBot="1" x14ac:dyDescent="0.3">
      <c r="B109" s="2">
        <v>97</v>
      </c>
      <c r="C109" s="2">
        <v>5.65</v>
      </c>
      <c r="D109" s="2" t="s">
        <v>20</v>
      </c>
      <c r="E109" s="2" t="s">
        <v>16</v>
      </c>
    </row>
    <row r="110" spans="2:5" ht="15.75" thickBot="1" x14ac:dyDescent="0.3">
      <c r="B110" s="2">
        <v>98</v>
      </c>
      <c r="C110" s="2">
        <v>6.83</v>
      </c>
      <c r="D110" s="2" t="s">
        <v>20</v>
      </c>
      <c r="E110" s="2" t="s">
        <v>16</v>
      </c>
    </row>
    <row r="111" spans="2:5" ht="15.75" thickBot="1" x14ac:dyDescent="0.3">
      <c r="B111" s="2">
        <v>99</v>
      </c>
      <c r="C111" s="2">
        <v>6.27</v>
      </c>
      <c r="D111" s="2" t="s">
        <v>20</v>
      </c>
      <c r="E111" s="2" t="s">
        <v>16</v>
      </c>
    </row>
    <row r="112" spans="2:5" ht="15.75" thickBot="1" x14ac:dyDescent="0.3">
      <c r="B112" s="2">
        <v>100</v>
      </c>
      <c r="C112" s="2">
        <v>7.2</v>
      </c>
      <c r="D112" s="2" t="s">
        <v>20</v>
      </c>
      <c r="E112" s="2" t="s">
        <v>16</v>
      </c>
    </row>
    <row r="113" spans="2:5" ht="15.75" thickBot="1" x14ac:dyDescent="0.3">
      <c r="B113" s="2">
        <v>101</v>
      </c>
      <c r="C113" s="2">
        <v>6.83</v>
      </c>
      <c r="D113" s="2" t="s">
        <v>20</v>
      </c>
      <c r="E113" s="2" t="s">
        <v>16</v>
      </c>
    </row>
    <row r="114" spans="2:5" ht="15.75" thickBot="1" x14ac:dyDescent="0.3">
      <c r="B114" s="2">
        <v>102</v>
      </c>
      <c r="C114" s="2">
        <v>5.37</v>
      </c>
      <c r="D114" s="2" t="s">
        <v>21</v>
      </c>
      <c r="E114" s="2" t="s">
        <v>15</v>
      </c>
    </row>
    <row r="115" spans="2:5" ht="15.75" thickBot="1" x14ac:dyDescent="0.3">
      <c r="B115" s="2">
        <v>103</v>
      </c>
      <c r="C115" s="2">
        <v>5.52</v>
      </c>
      <c r="D115" s="2" t="s">
        <v>21</v>
      </c>
      <c r="E115" s="2" t="s">
        <v>15</v>
      </c>
    </row>
    <row r="116" spans="2:5" ht="15.75" thickBot="1" x14ac:dyDescent="0.3">
      <c r="B116" s="2">
        <v>104</v>
      </c>
      <c r="C116" s="2">
        <v>4.6100000000000003</v>
      </c>
      <c r="D116" s="2" t="s">
        <v>21</v>
      </c>
      <c r="E116" s="2" t="s">
        <v>15</v>
      </c>
    </row>
    <row r="117" spans="2:5" ht="15.75" thickBot="1" x14ac:dyDescent="0.3">
      <c r="B117" s="2">
        <v>105</v>
      </c>
      <c r="C117" s="2">
        <v>5.66</v>
      </c>
      <c r="D117" s="2" t="s">
        <v>21</v>
      </c>
      <c r="E117" s="2" t="s">
        <v>15</v>
      </c>
    </row>
    <row r="118" spans="2:5" ht="15.75" thickBot="1" x14ac:dyDescent="0.3">
      <c r="B118" s="2">
        <v>106</v>
      </c>
      <c r="C118" s="2">
        <v>5.16</v>
      </c>
      <c r="D118" s="2" t="s">
        <v>21</v>
      </c>
      <c r="E118" s="2" t="s">
        <v>15</v>
      </c>
    </row>
    <row r="119" spans="2:5" ht="15.75" thickBot="1" x14ac:dyDescent="0.3">
      <c r="B119" s="2">
        <v>107</v>
      </c>
      <c r="C119" s="2">
        <v>5.41</v>
      </c>
      <c r="D119" s="2" t="s">
        <v>21</v>
      </c>
      <c r="E119" s="2" t="s">
        <v>15</v>
      </c>
    </row>
    <row r="120" spans="2:5" ht="15.75" thickBot="1" x14ac:dyDescent="0.3">
      <c r="B120" s="2">
        <v>108</v>
      </c>
      <c r="C120" s="2">
        <v>5.07</v>
      </c>
      <c r="D120" s="2" t="s">
        <v>21</v>
      </c>
      <c r="E120" s="2" t="s">
        <v>15</v>
      </c>
    </row>
    <row r="121" spans="2:5" ht="15.75" thickBot="1" x14ac:dyDescent="0.3">
      <c r="B121" s="2">
        <v>109</v>
      </c>
      <c r="C121" s="2">
        <v>5.15</v>
      </c>
      <c r="D121" s="2" t="s">
        <v>21</v>
      </c>
      <c r="E121" s="2" t="s">
        <v>15</v>
      </c>
    </row>
    <row r="122" spans="2:5" ht="15.75" thickBot="1" x14ac:dyDescent="0.3">
      <c r="B122" s="2">
        <v>110</v>
      </c>
      <c r="C122" s="2">
        <v>5.23</v>
      </c>
      <c r="D122" s="2" t="s">
        <v>21</v>
      </c>
      <c r="E122" s="2" t="s">
        <v>15</v>
      </c>
    </row>
    <row r="123" spans="2:5" ht="15.75" thickBot="1" x14ac:dyDescent="0.3">
      <c r="B123" s="2">
        <v>111</v>
      </c>
      <c r="C123" s="2">
        <v>4.8600000000000003</v>
      </c>
      <c r="D123" s="2" t="s">
        <v>21</v>
      </c>
      <c r="E123" s="2" t="s">
        <v>15</v>
      </c>
    </row>
    <row r="124" spans="2:5" ht="15.75" thickBot="1" x14ac:dyDescent="0.3">
      <c r="B124" s="2">
        <v>112</v>
      </c>
      <c r="C124" s="2">
        <v>5.13</v>
      </c>
      <c r="D124" s="2" t="s">
        <v>21</v>
      </c>
      <c r="E124" s="2" t="s">
        <v>15</v>
      </c>
    </row>
    <row r="125" spans="2:5" ht="15.75" thickBot="1" x14ac:dyDescent="0.3">
      <c r="B125" s="2">
        <v>113</v>
      </c>
      <c r="C125" s="2">
        <v>4.74</v>
      </c>
      <c r="D125" s="2" t="s">
        <v>21</v>
      </c>
      <c r="E125" s="2" t="s">
        <v>15</v>
      </c>
    </row>
    <row r="126" spans="2:5" ht="15.75" thickBot="1" x14ac:dyDescent="0.3">
      <c r="B126" s="2">
        <v>114</v>
      </c>
      <c r="C126" s="2">
        <v>5.25</v>
      </c>
      <c r="D126" s="2" t="s">
        <v>21</v>
      </c>
      <c r="E126" s="2" t="s">
        <v>15</v>
      </c>
    </row>
    <row r="127" spans="2:5" ht="15.75" thickBot="1" x14ac:dyDescent="0.3">
      <c r="B127" s="2">
        <v>115</v>
      </c>
      <c r="C127" s="2">
        <v>5.61</v>
      </c>
      <c r="D127" s="2" t="s">
        <v>21</v>
      </c>
      <c r="E127" s="2" t="s">
        <v>15</v>
      </c>
    </row>
    <row r="128" spans="2:5" ht="15.75" thickBot="1" x14ac:dyDescent="0.3">
      <c r="B128" s="2">
        <v>116</v>
      </c>
      <c r="C128" s="2">
        <v>8.14</v>
      </c>
      <c r="D128" s="2" t="s">
        <v>21</v>
      </c>
      <c r="E128" s="2" t="s">
        <v>16</v>
      </c>
    </row>
    <row r="129" spans="2:5" ht="15.75" thickBot="1" x14ac:dyDescent="0.3">
      <c r="B129" s="2">
        <v>117</v>
      </c>
      <c r="C129" s="2">
        <v>5.74</v>
      </c>
      <c r="D129" s="2" t="s">
        <v>21</v>
      </c>
      <c r="E129" s="2" t="s">
        <v>16</v>
      </c>
    </row>
    <row r="130" spans="2:5" ht="15.75" thickBot="1" x14ac:dyDescent="0.3">
      <c r="B130" s="2">
        <v>118</v>
      </c>
      <c r="C130" s="2">
        <v>7.87</v>
      </c>
      <c r="D130" s="2" t="s">
        <v>21</v>
      </c>
      <c r="E130" s="2" t="s">
        <v>16</v>
      </c>
    </row>
    <row r="131" spans="2:5" ht="15.75" thickBot="1" x14ac:dyDescent="0.3">
      <c r="B131" s="2">
        <v>119</v>
      </c>
      <c r="C131" s="2">
        <v>4.59</v>
      </c>
      <c r="D131" s="2" t="s">
        <v>21</v>
      </c>
      <c r="E131" s="2" t="s">
        <v>16</v>
      </c>
    </row>
    <row r="132" spans="2:5" ht="15.75" thickBot="1" x14ac:dyDescent="0.3">
      <c r="B132" s="2">
        <v>120</v>
      </c>
      <c r="C132" s="2">
        <v>7.39</v>
      </c>
      <c r="D132" s="2" t="s">
        <v>21</v>
      </c>
      <c r="E132" s="2" t="s">
        <v>16</v>
      </c>
    </row>
    <row r="133" spans="2:5" ht="15.75" thickBot="1" x14ac:dyDescent="0.3">
      <c r="B133" s="2">
        <v>121</v>
      </c>
      <c r="C133" s="2">
        <v>6.09</v>
      </c>
      <c r="D133" s="2" t="s">
        <v>21</v>
      </c>
      <c r="E133" s="2" t="s">
        <v>16</v>
      </c>
    </row>
    <row r="134" spans="2:5" ht="15.75" thickBot="1" x14ac:dyDescent="0.3">
      <c r="B134" s="2">
        <v>122</v>
      </c>
      <c r="C134" s="2">
        <v>8.1</v>
      </c>
      <c r="D134" s="2" t="s">
        <v>21</v>
      </c>
      <c r="E134" s="2" t="s">
        <v>16</v>
      </c>
    </row>
    <row r="135" spans="2:5" ht="15.75" thickBot="1" x14ac:dyDescent="0.3">
      <c r="B135" s="2">
        <v>123</v>
      </c>
      <c r="C135" s="2">
        <v>7.09</v>
      </c>
      <c r="D135" s="2" t="s">
        <v>21</v>
      </c>
      <c r="E135" s="2" t="s">
        <v>16</v>
      </c>
    </row>
    <row r="136" spans="2:5" ht="15.75" thickBot="1" x14ac:dyDescent="0.3">
      <c r="B136" s="2">
        <v>124</v>
      </c>
      <c r="C136" s="2">
        <v>7.58</v>
      </c>
      <c r="D136" s="2" t="s">
        <v>21</v>
      </c>
      <c r="E136" s="2" t="s">
        <v>16</v>
      </c>
    </row>
    <row r="137" spans="2:5" ht="15.75" thickBot="1" x14ac:dyDescent="0.3">
      <c r="B137" s="2">
        <v>125</v>
      </c>
      <c r="C137" s="2">
        <v>7.38</v>
      </c>
      <c r="D137" s="2" t="s">
        <v>21</v>
      </c>
      <c r="E137" s="2" t="s">
        <v>16</v>
      </c>
    </row>
    <row r="138" spans="2:5" ht="15.75" thickBot="1" x14ac:dyDescent="0.3">
      <c r="B138" s="2">
        <v>126</v>
      </c>
      <c r="C138" s="2">
        <v>5.49</v>
      </c>
      <c r="D138" s="2" t="s">
        <v>21</v>
      </c>
      <c r="E138" s="2" t="s">
        <v>16</v>
      </c>
    </row>
    <row r="139" spans="2:5" ht="15.75" thickBot="1" x14ac:dyDescent="0.3">
      <c r="B139" s="2">
        <v>127</v>
      </c>
      <c r="C139" s="2">
        <v>7.83</v>
      </c>
      <c r="D139" s="2" t="s">
        <v>21</v>
      </c>
      <c r="E139" s="2" t="s">
        <v>16</v>
      </c>
    </row>
    <row r="140" spans="2:5" ht="15.75" thickBot="1" x14ac:dyDescent="0.3">
      <c r="B140" s="2">
        <v>128</v>
      </c>
      <c r="C140" s="2">
        <v>6.88</v>
      </c>
      <c r="D140" s="2" t="s">
        <v>21</v>
      </c>
      <c r="E140" s="2" t="s">
        <v>16</v>
      </c>
    </row>
    <row r="141" spans="2:5" ht="15.75" thickBot="1" x14ac:dyDescent="0.3">
      <c r="B141" s="2">
        <v>129</v>
      </c>
      <c r="C141" s="2">
        <v>5.75</v>
      </c>
      <c r="D141" s="2" t="s">
        <v>21</v>
      </c>
      <c r="E141" s="2" t="s">
        <v>16</v>
      </c>
    </row>
    <row r="142" spans="2:5" ht="15.75" thickBot="1" x14ac:dyDescent="0.3">
      <c r="B142" s="2">
        <v>130</v>
      </c>
      <c r="C142" s="2">
        <v>8.23</v>
      </c>
      <c r="D142" s="2" t="s">
        <v>21</v>
      </c>
      <c r="E142" s="2" t="s">
        <v>16</v>
      </c>
    </row>
    <row r="143" spans="2:5" ht="15.75" thickBot="1" x14ac:dyDescent="0.3">
      <c r="B143" s="2">
        <v>131</v>
      </c>
      <c r="C143" s="2">
        <v>6.53</v>
      </c>
      <c r="D143" s="2" t="s">
        <v>21</v>
      </c>
      <c r="E143" s="2" t="s">
        <v>16</v>
      </c>
    </row>
    <row r="144" spans="2:5" ht="15.75" thickBot="1" x14ac:dyDescent="0.3">
      <c r="B144" s="2">
        <v>132</v>
      </c>
      <c r="C144" s="2">
        <v>7.42</v>
      </c>
      <c r="D144" s="2" t="s">
        <v>21</v>
      </c>
      <c r="E144" s="2" t="s">
        <v>16</v>
      </c>
    </row>
    <row r="145" spans="2:5" ht="15.75" thickBot="1" x14ac:dyDescent="0.3">
      <c r="B145" s="2">
        <v>133</v>
      </c>
      <c r="C145" s="2">
        <v>5.17</v>
      </c>
      <c r="D145" s="2" t="s">
        <v>21</v>
      </c>
      <c r="E145" s="2" t="s">
        <v>16</v>
      </c>
    </row>
    <row r="146" spans="2:5" ht="15.75" thickBot="1" x14ac:dyDescent="0.3">
      <c r="B146" s="2">
        <v>134</v>
      </c>
      <c r="C146" s="2">
        <v>7.63</v>
      </c>
      <c r="D146" s="2" t="s">
        <v>21</v>
      </c>
      <c r="E146" s="2" t="s">
        <v>16</v>
      </c>
    </row>
    <row r="147" spans="2:5" ht="15.75" thickBot="1" x14ac:dyDescent="0.3">
      <c r="B147" s="2">
        <v>135</v>
      </c>
      <c r="C147" s="2">
        <v>8.85</v>
      </c>
      <c r="D147" s="2" t="s">
        <v>21</v>
      </c>
      <c r="E147" s="2" t="s">
        <v>16</v>
      </c>
    </row>
    <row r="148" spans="2:5" ht="15.75" thickBot="1" x14ac:dyDescent="0.3">
      <c r="B148" s="2">
        <v>136</v>
      </c>
      <c r="C148" s="2">
        <v>8.7100000000000009</v>
      </c>
      <c r="D148" s="2" t="s">
        <v>21</v>
      </c>
      <c r="E148" s="2" t="s">
        <v>16</v>
      </c>
    </row>
    <row r="149" spans="2:5" ht="15.75" thickBot="1" x14ac:dyDescent="0.3">
      <c r="B149" s="2">
        <v>137</v>
      </c>
      <c r="C149" s="2">
        <v>7.53</v>
      </c>
      <c r="D149" s="2" t="s">
        <v>21</v>
      </c>
      <c r="E149" s="2" t="s">
        <v>16</v>
      </c>
    </row>
    <row r="150" spans="2:5" ht="15.75" thickBot="1" x14ac:dyDescent="0.3">
      <c r="B150" s="2">
        <v>138</v>
      </c>
      <c r="C150" s="2">
        <v>6.99</v>
      </c>
      <c r="D150" s="2" t="s">
        <v>21</v>
      </c>
      <c r="E150" s="2" t="s">
        <v>16</v>
      </c>
    </row>
    <row r="151" spans="2:5" ht="15.75" thickBot="1" x14ac:dyDescent="0.3">
      <c r="B151" s="2">
        <v>139</v>
      </c>
      <c r="C151" s="2">
        <v>5.13</v>
      </c>
      <c r="D151" s="2" t="s">
        <v>21</v>
      </c>
      <c r="E151" s="2" t="s">
        <v>16</v>
      </c>
    </row>
    <row r="152" spans="2:5" ht="15.75" thickBot="1" x14ac:dyDescent="0.3">
      <c r="B152" s="2">
        <v>140</v>
      </c>
      <c r="C152" s="2">
        <v>7.33</v>
      </c>
      <c r="D152" s="2" t="s">
        <v>21</v>
      </c>
      <c r="E152" s="2" t="s">
        <v>16</v>
      </c>
    </row>
    <row r="153" spans="2:5" ht="15.75" thickBot="1" x14ac:dyDescent="0.3">
      <c r="B153" s="2">
        <v>141</v>
      </c>
      <c r="C153" s="2">
        <v>5.95</v>
      </c>
      <c r="D153" s="2" t="s">
        <v>21</v>
      </c>
      <c r="E153" s="2" t="s">
        <v>16</v>
      </c>
    </row>
    <row r="154" spans="2:5" ht="15.75" thickBot="1" x14ac:dyDescent="0.3">
      <c r="B154" s="2">
        <v>142</v>
      </c>
      <c r="C154" s="2">
        <v>6.3</v>
      </c>
      <c r="D154" s="2" t="s">
        <v>21</v>
      </c>
      <c r="E154" s="2" t="s">
        <v>16</v>
      </c>
    </row>
    <row r="155" spans="2:5" ht="15.75" thickBot="1" x14ac:dyDescent="0.3">
      <c r="B155" s="2">
        <v>143</v>
      </c>
      <c r="C155" s="2">
        <v>5.85</v>
      </c>
      <c r="D155" s="2" t="s">
        <v>21</v>
      </c>
      <c r="E155" s="2" t="s">
        <v>16</v>
      </c>
    </row>
    <row r="156" spans="2:5" ht="15.75" thickBot="1" x14ac:dyDescent="0.3">
      <c r="B156" s="2">
        <v>144</v>
      </c>
      <c r="C156" s="2">
        <v>5.04</v>
      </c>
      <c r="D156" s="2" t="s">
        <v>22</v>
      </c>
      <c r="E156" s="2" t="s">
        <v>15</v>
      </c>
    </row>
    <row r="157" spans="2:5" ht="15.75" thickBot="1" x14ac:dyDescent="0.3">
      <c r="B157" s="2">
        <v>145</v>
      </c>
      <c r="C157" s="2">
        <v>4.95</v>
      </c>
      <c r="D157" s="2" t="s">
        <v>22</v>
      </c>
      <c r="E157" s="2" t="s">
        <v>15</v>
      </c>
    </row>
    <row r="158" spans="2:5" ht="15.75" thickBot="1" x14ac:dyDescent="0.3">
      <c r="B158" s="2">
        <v>146</v>
      </c>
      <c r="C158" s="2">
        <v>5.74</v>
      </c>
      <c r="D158" s="2" t="s">
        <v>22</v>
      </c>
      <c r="E158" s="2" t="s">
        <v>15</v>
      </c>
    </row>
    <row r="159" spans="2:5" ht="15.75" thickBot="1" x14ac:dyDescent="0.3">
      <c r="B159" s="2">
        <v>147</v>
      </c>
      <c r="C159" s="2">
        <v>5.37</v>
      </c>
      <c r="D159" s="2" t="s">
        <v>22</v>
      </c>
      <c r="E159" s="2" t="s">
        <v>15</v>
      </c>
    </row>
    <row r="160" spans="2:5" ht="15.75" thickBot="1" x14ac:dyDescent="0.3">
      <c r="B160" s="2">
        <v>148</v>
      </c>
      <c r="C160" s="2">
        <v>5.19</v>
      </c>
      <c r="D160" s="2" t="s">
        <v>22</v>
      </c>
      <c r="E160" s="2" t="s">
        <v>15</v>
      </c>
    </row>
    <row r="161" spans="2:5" ht="15.75" thickBot="1" x14ac:dyDescent="0.3">
      <c r="B161" s="2">
        <v>149</v>
      </c>
      <c r="C161" s="2">
        <v>5.58</v>
      </c>
      <c r="D161" s="2" t="s">
        <v>22</v>
      </c>
      <c r="E161" s="2" t="s">
        <v>15</v>
      </c>
    </row>
    <row r="162" spans="2:5" ht="15.75" thickBot="1" x14ac:dyDescent="0.3">
      <c r="B162" s="2">
        <v>150</v>
      </c>
      <c r="C162" s="2">
        <v>4.7</v>
      </c>
      <c r="D162" s="2" t="s">
        <v>22</v>
      </c>
      <c r="E162" s="2" t="s">
        <v>15</v>
      </c>
    </row>
    <row r="163" spans="2:5" ht="15.75" thickBot="1" x14ac:dyDescent="0.3">
      <c r="B163" s="2">
        <v>151</v>
      </c>
      <c r="C163" s="2">
        <v>5.1100000000000003</v>
      </c>
      <c r="D163" s="2" t="s">
        <v>22</v>
      </c>
      <c r="E163" s="2" t="s">
        <v>15</v>
      </c>
    </row>
    <row r="164" spans="2:5" ht="15.75" thickBot="1" x14ac:dyDescent="0.3">
      <c r="B164" s="2">
        <v>152</v>
      </c>
      <c r="C164" s="2">
        <v>4.82</v>
      </c>
      <c r="D164" s="2" t="s">
        <v>22</v>
      </c>
      <c r="E164" s="2" t="s">
        <v>15</v>
      </c>
    </row>
    <row r="165" spans="2:5" ht="15.75" thickBot="1" x14ac:dyDescent="0.3">
      <c r="B165" s="2">
        <v>153</v>
      </c>
      <c r="C165" s="2">
        <v>5.25</v>
      </c>
      <c r="D165" s="2" t="s">
        <v>22</v>
      </c>
      <c r="E165" s="2" t="s">
        <v>15</v>
      </c>
    </row>
    <row r="166" spans="2:5" ht="15.75" thickBot="1" x14ac:dyDescent="0.3">
      <c r="B166" s="2">
        <v>154</v>
      </c>
      <c r="C166" s="2">
        <v>5.63</v>
      </c>
      <c r="D166" s="2" t="s">
        <v>22</v>
      </c>
      <c r="E166" s="2" t="s">
        <v>15</v>
      </c>
    </row>
    <row r="167" spans="2:5" ht="15.75" thickBot="1" x14ac:dyDescent="0.3">
      <c r="B167" s="2">
        <v>155</v>
      </c>
      <c r="C167" s="2">
        <v>5.15</v>
      </c>
      <c r="D167" s="2" t="s">
        <v>22</v>
      </c>
      <c r="E167" s="2" t="s">
        <v>15</v>
      </c>
    </row>
    <row r="168" spans="2:5" ht="15.75" thickBot="1" x14ac:dyDescent="0.3">
      <c r="B168" s="2">
        <v>156</v>
      </c>
      <c r="C168" s="2">
        <v>5.04</v>
      </c>
      <c r="D168" s="2" t="s">
        <v>22</v>
      </c>
      <c r="E168" s="2" t="s">
        <v>15</v>
      </c>
    </row>
    <row r="169" spans="2:5" ht="15.75" thickBot="1" x14ac:dyDescent="0.3">
      <c r="B169" s="2">
        <v>157</v>
      </c>
      <c r="C169" s="2">
        <v>4.92</v>
      </c>
      <c r="D169" s="2" t="s">
        <v>22</v>
      </c>
      <c r="E169" s="2" t="s">
        <v>16</v>
      </c>
    </row>
    <row r="170" spans="2:5" ht="15.75" thickBot="1" x14ac:dyDescent="0.3">
      <c r="B170" s="2">
        <v>158</v>
      </c>
      <c r="C170" s="2">
        <v>4.87</v>
      </c>
      <c r="D170" s="2" t="s">
        <v>22</v>
      </c>
      <c r="E170" s="2" t="s">
        <v>16</v>
      </c>
    </row>
    <row r="171" spans="2:5" ht="15.75" thickBot="1" x14ac:dyDescent="0.3">
      <c r="B171" s="2">
        <v>159</v>
      </c>
      <c r="C171" s="2">
        <v>4.91</v>
      </c>
      <c r="D171" s="2" t="s">
        <v>22</v>
      </c>
      <c r="E171" s="2" t="s">
        <v>16</v>
      </c>
    </row>
    <row r="172" spans="2:5" ht="15.75" thickBot="1" x14ac:dyDescent="0.3">
      <c r="B172" s="2">
        <v>160</v>
      </c>
      <c r="C172" s="2">
        <v>4.95</v>
      </c>
      <c r="D172" s="2" t="s">
        <v>22</v>
      </c>
      <c r="E172" s="2" t="s">
        <v>16</v>
      </c>
    </row>
  </sheetData>
  <autoFilter ref="B12:E172" xr:uid="{51281B26-60F5-4F1C-9D5B-1F1757AF86E1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DC9DB-CD6C-40ED-92FB-580E4443502D}">
  <dimension ref="A1:W184"/>
  <sheetViews>
    <sheetView topLeftCell="A6" workbookViewId="0"/>
  </sheetViews>
  <sheetFormatPr defaultRowHeight="15" x14ac:dyDescent="0.25"/>
  <cols>
    <col min="7" max="7" width="12" bestFit="1" customWidth="1"/>
    <col min="14" max="14" width="12" bestFit="1" customWidth="1"/>
  </cols>
  <sheetData>
    <row r="1" spans="1:4" ht="64.5" thickBot="1" x14ac:dyDescent="0.3">
      <c r="A1" s="1" t="s">
        <v>10</v>
      </c>
      <c r="B1" s="1" t="s">
        <v>11</v>
      </c>
      <c r="C1" s="1" t="s">
        <v>12</v>
      </c>
      <c r="D1" s="1" t="s">
        <v>13</v>
      </c>
    </row>
    <row r="2" spans="1:4" ht="15.75" thickBot="1" x14ac:dyDescent="0.3">
      <c r="A2" s="2">
        <v>1</v>
      </c>
      <c r="B2" s="2">
        <v>4.83</v>
      </c>
      <c r="C2" s="2" t="s">
        <v>14</v>
      </c>
      <c r="D2" s="2" t="s">
        <v>15</v>
      </c>
    </row>
    <row r="3" spans="1:4" ht="15.75" thickBot="1" x14ac:dyDescent="0.3">
      <c r="A3" s="2">
        <v>2</v>
      </c>
      <c r="B3" s="2">
        <v>4.78</v>
      </c>
      <c r="C3" s="2" t="s">
        <v>14</v>
      </c>
      <c r="D3" s="2" t="s">
        <v>15</v>
      </c>
    </row>
    <row r="4" spans="1:4" ht="15.75" thickBot="1" x14ac:dyDescent="0.3">
      <c r="A4" s="2">
        <v>3</v>
      </c>
      <c r="B4" s="2">
        <v>4.5999999999999996</v>
      </c>
      <c r="C4" s="2" t="s">
        <v>14</v>
      </c>
      <c r="D4" s="2" t="s">
        <v>15</v>
      </c>
    </row>
    <row r="5" spans="1:4" ht="15.75" thickBot="1" x14ac:dyDescent="0.3">
      <c r="A5" s="2">
        <v>4</v>
      </c>
      <c r="B5" s="2">
        <v>5.1100000000000003</v>
      </c>
      <c r="C5" s="2" t="s">
        <v>14</v>
      </c>
      <c r="D5" s="2" t="s">
        <v>15</v>
      </c>
    </row>
    <row r="6" spans="1:4" ht="15.75" thickBot="1" x14ac:dyDescent="0.3">
      <c r="A6" s="2">
        <v>5</v>
      </c>
      <c r="B6" s="2">
        <v>5.13</v>
      </c>
      <c r="C6" s="2" t="s">
        <v>14</v>
      </c>
      <c r="D6" s="2" t="s">
        <v>15</v>
      </c>
    </row>
    <row r="7" spans="1:4" ht="15.75" thickBot="1" x14ac:dyDescent="0.3">
      <c r="A7" s="2">
        <v>6</v>
      </c>
      <c r="B7" s="2">
        <v>5.05</v>
      </c>
      <c r="C7" s="2" t="s">
        <v>14</v>
      </c>
      <c r="D7" s="2" t="s">
        <v>15</v>
      </c>
    </row>
    <row r="8" spans="1:4" ht="15.75" thickBot="1" x14ac:dyDescent="0.3">
      <c r="A8" s="2">
        <v>7</v>
      </c>
      <c r="B8" s="2">
        <v>4.7699999999999996</v>
      </c>
      <c r="C8" s="2" t="s">
        <v>14</v>
      </c>
      <c r="D8" s="2" t="s">
        <v>15</v>
      </c>
    </row>
    <row r="9" spans="1:4" ht="15.75" thickBot="1" x14ac:dyDescent="0.3">
      <c r="A9" s="2">
        <v>8</v>
      </c>
      <c r="B9" s="2">
        <v>4.8</v>
      </c>
      <c r="C9" s="2" t="s">
        <v>14</v>
      </c>
      <c r="D9" s="2" t="s">
        <v>16</v>
      </c>
    </row>
    <row r="10" spans="1:4" ht="15.75" thickBot="1" x14ac:dyDescent="0.3">
      <c r="A10" s="2">
        <v>9</v>
      </c>
      <c r="B10" s="2">
        <v>5.0199999999999996</v>
      </c>
      <c r="C10" s="2" t="s">
        <v>14</v>
      </c>
      <c r="D10" s="2" t="s">
        <v>16</v>
      </c>
    </row>
    <row r="11" spans="1:4" ht="15.75" thickBot="1" x14ac:dyDescent="0.3">
      <c r="A11" s="2">
        <v>10</v>
      </c>
      <c r="B11" s="2">
        <v>5.12</v>
      </c>
      <c r="C11" s="2" t="s">
        <v>14</v>
      </c>
      <c r="D11" s="2" t="s">
        <v>16</v>
      </c>
    </row>
    <row r="12" spans="1:4" ht="15.75" thickBot="1" x14ac:dyDescent="0.3">
      <c r="A12" s="2">
        <v>11</v>
      </c>
      <c r="B12" s="2">
        <v>4.9000000000000004</v>
      </c>
      <c r="C12" s="2" t="s">
        <v>14</v>
      </c>
      <c r="D12" s="2" t="s">
        <v>16</v>
      </c>
    </row>
    <row r="13" spans="1:4" ht="15.75" thickBot="1" x14ac:dyDescent="0.3">
      <c r="A13" s="2">
        <v>12</v>
      </c>
      <c r="B13" s="2">
        <v>5.13</v>
      </c>
      <c r="C13" s="2" t="s">
        <v>14</v>
      </c>
      <c r="D13" s="2" t="s">
        <v>16</v>
      </c>
    </row>
    <row r="14" spans="1:4" ht="15.75" thickBot="1" x14ac:dyDescent="0.3">
      <c r="A14" s="2">
        <v>13</v>
      </c>
      <c r="B14" s="2">
        <v>4.57</v>
      </c>
      <c r="C14" s="2" t="s">
        <v>14</v>
      </c>
      <c r="D14" s="2" t="s">
        <v>16</v>
      </c>
    </row>
    <row r="15" spans="1:4" ht="15.75" thickBot="1" x14ac:dyDescent="0.3">
      <c r="A15" s="2">
        <v>14</v>
      </c>
      <c r="B15" s="2">
        <v>5</v>
      </c>
      <c r="C15" s="2" t="s">
        <v>14</v>
      </c>
      <c r="D15" s="2" t="s">
        <v>16</v>
      </c>
    </row>
    <row r="16" spans="1:4" ht="15.75" thickBot="1" x14ac:dyDescent="0.3">
      <c r="A16" s="2">
        <v>15</v>
      </c>
      <c r="B16" s="2">
        <v>4.9000000000000004</v>
      </c>
      <c r="C16" s="2" t="s">
        <v>14</v>
      </c>
      <c r="D16" s="2" t="s">
        <v>16</v>
      </c>
    </row>
    <row r="17" spans="1:8" ht="15.75" thickBot="1" x14ac:dyDescent="0.3">
      <c r="A17" s="2">
        <v>16</v>
      </c>
      <c r="B17" s="2">
        <v>5.27</v>
      </c>
      <c r="C17" s="2" t="s">
        <v>17</v>
      </c>
      <c r="D17" s="2" t="s">
        <v>15</v>
      </c>
      <c r="F17" t="s">
        <v>23</v>
      </c>
      <c r="H17" s="57">
        <f>AVERAGE($B$17:$B$31)</f>
        <v>4.9893333333333345</v>
      </c>
    </row>
    <row r="18" spans="1:8" ht="15.75" thickBot="1" x14ac:dyDescent="0.3">
      <c r="A18" s="2">
        <v>17</v>
      </c>
      <c r="B18" s="2">
        <v>5</v>
      </c>
      <c r="C18" s="2" t="s">
        <v>17</v>
      </c>
      <c r="D18" s="2" t="s">
        <v>15</v>
      </c>
    </row>
    <row r="19" spans="1:8" ht="15.75" thickBot="1" x14ac:dyDescent="0.3">
      <c r="A19" s="2">
        <v>18</v>
      </c>
      <c r="B19" s="2">
        <v>4.83</v>
      </c>
      <c r="C19" s="2" t="s">
        <v>17</v>
      </c>
      <c r="D19" s="2" t="s">
        <v>15</v>
      </c>
    </row>
    <row r="20" spans="1:8" ht="15.75" thickBot="1" x14ac:dyDescent="0.3">
      <c r="A20" s="2">
        <v>19</v>
      </c>
      <c r="B20" s="2">
        <v>5.03</v>
      </c>
      <c r="C20" s="2" t="s">
        <v>17</v>
      </c>
      <c r="D20" s="2" t="s">
        <v>15</v>
      </c>
    </row>
    <row r="21" spans="1:8" ht="15.75" thickBot="1" x14ac:dyDescent="0.3">
      <c r="A21" s="2">
        <v>20</v>
      </c>
      <c r="B21" s="1">
        <v>4.5999999999999996</v>
      </c>
      <c r="C21" s="1" t="s">
        <v>17</v>
      </c>
      <c r="D21" s="2" t="s">
        <v>15</v>
      </c>
    </row>
    <row r="22" spans="1:8" ht="15.75" thickBot="1" x14ac:dyDescent="0.3">
      <c r="A22" s="2">
        <v>21</v>
      </c>
      <c r="B22" s="2">
        <v>5.0199999999999996</v>
      </c>
      <c r="C22" s="2" t="s">
        <v>17</v>
      </c>
      <c r="D22" s="2" t="s">
        <v>15</v>
      </c>
    </row>
    <row r="23" spans="1:8" ht="15.75" thickBot="1" x14ac:dyDescent="0.3">
      <c r="A23" s="2">
        <v>22</v>
      </c>
      <c r="B23" s="2">
        <v>5.12</v>
      </c>
      <c r="C23" s="2" t="s">
        <v>17</v>
      </c>
      <c r="D23" s="2" t="s">
        <v>16</v>
      </c>
    </row>
    <row r="24" spans="1:8" ht="15.75" thickBot="1" x14ac:dyDescent="0.3">
      <c r="A24" s="2">
        <v>23</v>
      </c>
      <c r="B24" s="2">
        <v>5.07</v>
      </c>
      <c r="C24" s="2" t="s">
        <v>17</v>
      </c>
      <c r="D24" s="2" t="s">
        <v>16</v>
      </c>
    </row>
    <row r="25" spans="1:8" ht="15.75" thickBot="1" x14ac:dyDescent="0.3">
      <c r="A25" s="2">
        <v>24</v>
      </c>
      <c r="B25" s="2">
        <v>4.97</v>
      </c>
      <c r="C25" s="2" t="s">
        <v>17</v>
      </c>
      <c r="D25" s="2" t="s">
        <v>16</v>
      </c>
    </row>
    <row r="26" spans="1:8" ht="15.75" thickBot="1" x14ac:dyDescent="0.3">
      <c r="A26" s="2">
        <v>25</v>
      </c>
      <c r="B26" s="2">
        <v>5.23</v>
      </c>
      <c r="C26" s="2" t="s">
        <v>17</v>
      </c>
      <c r="D26" s="2" t="s">
        <v>16</v>
      </c>
    </row>
    <row r="27" spans="1:8" ht="15.75" thickBot="1" x14ac:dyDescent="0.3">
      <c r="A27" s="2">
        <v>26</v>
      </c>
      <c r="B27" s="2">
        <v>4.68</v>
      </c>
      <c r="C27" s="2" t="s">
        <v>17</v>
      </c>
      <c r="D27" s="2" t="s">
        <v>16</v>
      </c>
    </row>
    <row r="28" spans="1:8" ht="15.75" thickBot="1" x14ac:dyDescent="0.3">
      <c r="A28" s="2">
        <v>27</v>
      </c>
      <c r="B28" s="2">
        <v>4.99</v>
      </c>
      <c r="C28" s="2" t="s">
        <v>17</v>
      </c>
      <c r="D28" s="2" t="s">
        <v>16</v>
      </c>
    </row>
    <row r="29" spans="1:8" ht="15.75" thickBot="1" x14ac:dyDescent="0.3">
      <c r="A29" s="2">
        <v>28</v>
      </c>
      <c r="B29" s="2">
        <v>4.93</v>
      </c>
      <c r="C29" s="2" t="s">
        <v>17</v>
      </c>
      <c r="D29" s="2" t="s">
        <v>16</v>
      </c>
    </row>
    <row r="30" spans="1:8" ht="15.75" thickBot="1" x14ac:dyDescent="0.3">
      <c r="A30" s="2">
        <v>29</v>
      </c>
      <c r="B30" s="2">
        <v>4.79</v>
      </c>
      <c r="C30" s="2" t="s">
        <v>17</v>
      </c>
      <c r="D30" s="2" t="s">
        <v>16</v>
      </c>
    </row>
    <row r="31" spans="1:8" ht="15.75" thickBot="1" x14ac:dyDescent="0.3">
      <c r="A31" s="2">
        <v>30</v>
      </c>
      <c r="B31" s="1">
        <v>5.31</v>
      </c>
      <c r="C31" s="1" t="s">
        <v>17</v>
      </c>
      <c r="D31" s="2" t="s">
        <v>16</v>
      </c>
    </row>
    <row r="32" spans="1:8" ht="15.75" thickBot="1" x14ac:dyDescent="0.3">
      <c r="A32" s="2">
        <v>31</v>
      </c>
      <c r="B32" s="2">
        <v>5.07</v>
      </c>
      <c r="C32" s="2" t="s">
        <v>18</v>
      </c>
      <c r="D32" s="2" t="s">
        <v>15</v>
      </c>
    </row>
    <row r="33" spans="1:4" ht="15.75" thickBot="1" x14ac:dyDescent="0.3">
      <c r="A33" s="2">
        <v>32</v>
      </c>
      <c r="B33" s="2">
        <v>4.87</v>
      </c>
      <c r="C33" s="2" t="s">
        <v>18</v>
      </c>
      <c r="D33" s="2" t="s">
        <v>15</v>
      </c>
    </row>
    <row r="34" spans="1:4" ht="15.75" thickBot="1" x14ac:dyDescent="0.3">
      <c r="A34" s="2">
        <v>33</v>
      </c>
      <c r="B34" s="2">
        <v>5.3</v>
      </c>
      <c r="C34" s="2" t="s">
        <v>18</v>
      </c>
      <c r="D34" s="2" t="s">
        <v>15</v>
      </c>
    </row>
    <row r="35" spans="1:4" ht="15.75" thickBot="1" x14ac:dyDescent="0.3">
      <c r="A35" s="2">
        <v>34</v>
      </c>
      <c r="B35" s="2">
        <v>5.1100000000000003</v>
      </c>
      <c r="C35" s="2" t="s">
        <v>18</v>
      </c>
      <c r="D35" s="2" t="s">
        <v>15</v>
      </c>
    </row>
    <row r="36" spans="1:4" ht="15.75" thickBot="1" x14ac:dyDescent="0.3">
      <c r="A36" s="2">
        <v>35</v>
      </c>
      <c r="B36" s="2">
        <v>5.09</v>
      </c>
      <c r="C36" s="2" t="s">
        <v>18</v>
      </c>
      <c r="D36" s="2" t="s">
        <v>15</v>
      </c>
    </row>
    <row r="37" spans="1:4" ht="15.75" thickBot="1" x14ac:dyDescent="0.3">
      <c r="A37" s="2">
        <v>36</v>
      </c>
      <c r="B37" s="2">
        <v>5.55</v>
      </c>
      <c r="C37" s="2" t="s">
        <v>18</v>
      </c>
      <c r="D37" s="2" t="s">
        <v>15</v>
      </c>
    </row>
    <row r="38" spans="1:4" ht="15.75" thickBot="1" x14ac:dyDescent="0.3">
      <c r="A38" s="2">
        <v>37</v>
      </c>
      <c r="B38" s="2">
        <v>4.82</v>
      </c>
      <c r="C38" s="2" t="s">
        <v>18</v>
      </c>
      <c r="D38" s="2" t="s">
        <v>15</v>
      </c>
    </row>
    <row r="39" spans="1:4" ht="15.75" thickBot="1" x14ac:dyDescent="0.3">
      <c r="A39" s="2">
        <v>38</v>
      </c>
      <c r="B39" s="2">
        <v>4.7</v>
      </c>
      <c r="C39" s="2" t="s">
        <v>18</v>
      </c>
      <c r="D39" s="2" t="s">
        <v>16</v>
      </c>
    </row>
    <row r="40" spans="1:4" ht="15.75" thickBot="1" x14ac:dyDescent="0.3">
      <c r="A40" s="2">
        <v>39</v>
      </c>
      <c r="B40" s="2">
        <v>5.18</v>
      </c>
      <c r="C40" s="2" t="s">
        <v>18</v>
      </c>
      <c r="D40" s="2" t="s">
        <v>16</v>
      </c>
    </row>
    <row r="41" spans="1:4" ht="15.75" thickBot="1" x14ac:dyDescent="0.3">
      <c r="A41" s="2">
        <v>40</v>
      </c>
      <c r="B41" s="2">
        <v>5.16</v>
      </c>
      <c r="C41" s="2" t="s">
        <v>18</v>
      </c>
      <c r="D41" s="2" t="s">
        <v>16</v>
      </c>
    </row>
    <row r="42" spans="1:4" ht="15.75" thickBot="1" x14ac:dyDescent="0.3">
      <c r="A42" s="2">
        <v>41</v>
      </c>
      <c r="B42" s="2">
        <v>5.22</v>
      </c>
      <c r="C42" s="2" t="s">
        <v>18</v>
      </c>
      <c r="D42" s="2" t="s">
        <v>16</v>
      </c>
    </row>
    <row r="43" spans="1:4" ht="15.75" thickBot="1" x14ac:dyDescent="0.3">
      <c r="A43" s="2">
        <v>42</v>
      </c>
      <c r="B43" s="2">
        <v>5.36</v>
      </c>
      <c r="C43" s="2" t="s">
        <v>18</v>
      </c>
      <c r="D43" s="2" t="s">
        <v>16</v>
      </c>
    </row>
    <row r="44" spans="1:4" ht="15.75" thickBot="1" x14ac:dyDescent="0.3">
      <c r="A44" s="2">
        <v>43</v>
      </c>
      <c r="B44" s="2">
        <v>5.3</v>
      </c>
      <c r="C44" s="2" t="s">
        <v>18</v>
      </c>
      <c r="D44" s="2" t="s">
        <v>16</v>
      </c>
    </row>
    <row r="45" spans="1:4" ht="15.75" thickBot="1" x14ac:dyDescent="0.3">
      <c r="A45" s="2">
        <v>44</v>
      </c>
      <c r="B45" s="2">
        <v>5.51</v>
      </c>
      <c r="C45" s="2" t="s">
        <v>18</v>
      </c>
      <c r="D45" s="2" t="s">
        <v>16</v>
      </c>
    </row>
    <row r="46" spans="1:4" ht="15.75" thickBot="1" x14ac:dyDescent="0.3">
      <c r="A46" s="2">
        <v>45</v>
      </c>
      <c r="B46" s="2">
        <v>5.15</v>
      </c>
      <c r="C46" s="2" t="s">
        <v>18</v>
      </c>
      <c r="D46" s="2" t="s">
        <v>16</v>
      </c>
    </row>
    <row r="47" spans="1:4" ht="15.75" thickBot="1" x14ac:dyDescent="0.3">
      <c r="A47" s="2">
        <v>46</v>
      </c>
      <c r="B47" s="2">
        <v>5.18</v>
      </c>
      <c r="C47" s="2" t="s">
        <v>18</v>
      </c>
      <c r="D47" s="2" t="s">
        <v>16</v>
      </c>
    </row>
    <row r="48" spans="1:4" ht="15.75" thickBot="1" x14ac:dyDescent="0.3">
      <c r="A48" s="2">
        <v>47</v>
      </c>
      <c r="B48" s="2">
        <v>5.0999999999999996</v>
      </c>
      <c r="C48" s="2" t="s">
        <v>19</v>
      </c>
      <c r="D48" s="2" t="s">
        <v>15</v>
      </c>
    </row>
    <row r="49" spans="1:4" ht="15.75" thickBot="1" x14ac:dyDescent="0.3">
      <c r="A49" s="2">
        <v>48</v>
      </c>
      <c r="B49" s="2">
        <v>5.29</v>
      </c>
      <c r="C49" s="2" t="s">
        <v>19</v>
      </c>
      <c r="D49" s="2" t="s">
        <v>15</v>
      </c>
    </row>
    <row r="50" spans="1:4" ht="15.75" thickBot="1" x14ac:dyDescent="0.3">
      <c r="A50" s="2">
        <v>49</v>
      </c>
      <c r="B50" s="2">
        <v>5.85</v>
      </c>
      <c r="C50" s="2" t="s">
        <v>19</v>
      </c>
      <c r="D50" s="2" t="s">
        <v>15</v>
      </c>
    </row>
    <row r="51" spans="1:4" ht="15.75" thickBot="1" x14ac:dyDescent="0.3">
      <c r="A51" s="2">
        <v>50</v>
      </c>
      <c r="B51" s="2">
        <v>5.33</v>
      </c>
      <c r="C51" s="2" t="s">
        <v>19</v>
      </c>
      <c r="D51" s="2" t="s">
        <v>15</v>
      </c>
    </row>
    <row r="52" spans="1:4" ht="15.75" thickBot="1" x14ac:dyDescent="0.3">
      <c r="A52" s="2">
        <v>51</v>
      </c>
      <c r="B52" s="2">
        <v>5.0599999999999996</v>
      </c>
      <c r="C52" s="2" t="s">
        <v>19</v>
      </c>
      <c r="D52" s="2" t="s">
        <v>15</v>
      </c>
    </row>
    <row r="53" spans="1:4" ht="15.75" thickBot="1" x14ac:dyDescent="0.3">
      <c r="A53" s="2">
        <v>52</v>
      </c>
      <c r="B53" s="2">
        <v>5.26</v>
      </c>
      <c r="C53" s="2" t="s">
        <v>19</v>
      </c>
      <c r="D53" s="2" t="s">
        <v>15</v>
      </c>
    </row>
    <row r="54" spans="1:4" ht="15.75" thickBot="1" x14ac:dyDescent="0.3">
      <c r="A54" s="2">
        <v>53</v>
      </c>
      <c r="B54" s="2">
        <v>5.51</v>
      </c>
      <c r="C54" s="2" t="s">
        <v>19</v>
      </c>
      <c r="D54" s="2" t="s">
        <v>15</v>
      </c>
    </row>
    <row r="55" spans="1:4" ht="15.75" thickBot="1" x14ac:dyDescent="0.3">
      <c r="A55" s="2">
        <v>54</v>
      </c>
      <c r="B55" s="2">
        <v>5.18</v>
      </c>
      <c r="C55" s="2" t="s">
        <v>19</v>
      </c>
      <c r="D55" s="2" t="s">
        <v>15</v>
      </c>
    </row>
    <row r="56" spans="1:4" ht="15.75" thickBot="1" x14ac:dyDescent="0.3">
      <c r="A56" s="2">
        <v>55</v>
      </c>
      <c r="B56" s="2">
        <v>5.66</v>
      </c>
      <c r="C56" s="2" t="s">
        <v>19</v>
      </c>
      <c r="D56" s="2" t="s">
        <v>15</v>
      </c>
    </row>
    <row r="57" spans="1:4" ht="15.75" thickBot="1" x14ac:dyDescent="0.3">
      <c r="A57" s="2">
        <v>56</v>
      </c>
      <c r="B57" s="2">
        <v>5.1100000000000003</v>
      </c>
      <c r="C57" s="2" t="s">
        <v>19</v>
      </c>
      <c r="D57" s="2" t="s">
        <v>16</v>
      </c>
    </row>
    <row r="58" spans="1:4" ht="15.75" thickBot="1" x14ac:dyDescent="0.3">
      <c r="A58" s="2">
        <v>57</v>
      </c>
      <c r="B58" s="2">
        <v>5.17</v>
      </c>
      <c r="C58" s="2" t="s">
        <v>19</v>
      </c>
      <c r="D58" s="2" t="s">
        <v>16</v>
      </c>
    </row>
    <row r="59" spans="1:4" ht="15.75" thickBot="1" x14ac:dyDescent="0.3">
      <c r="A59" s="2">
        <v>58</v>
      </c>
      <c r="B59" s="2">
        <v>5.61</v>
      </c>
      <c r="C59" s="2" t="s">
        <v>19</v>
      </c>
      <c r="D59" s="2" t="s">
        <v>16</v>
      </c>
    </row>
    <row r="60" spans="1:4" ht="15.75" thickBot="1" x14ac:dyDescent="0.3">
      <c r="A60" s="2">
        <v>59</v>
      </c>
      <c r="B60" s="2">
        <v>5.36</v>
      </c>
      <c r="C60" s="2" t="s">
        <v>19</v>
      </c>
      <c r="D60" s="2" t="s">
        <v>16</v>
      </c>
    </row>
    <row r="61" spans="1:4" ht="15.75" thickBot="1" x14ac:dyDescent="0.3">
      <c r="A61" s="2">
        <v>60</v>
      </c>
      <c r="B61" s="2">
        <v>4.92</v>
      </c>
      <c r="C61" s="2" t="s">
        <v>19</v>
      </c>
      <c r="D61" s="2" t="s">
        <v>16</v>
      </c>
    </row>
    <row r="62" spans="1:4" ht="15.75" thickBot="1" x14ac:dyDescent="0.3">
      <c r="A62" s="58">
        <v>61</v>
      </c>
      <c r="B62" s="58">
        <v>9.49</v>
      </c>
      <c r="C62" s="58" t="s">
        <v>19</v>
      </c>
      <c r="D62" s="58" t="s">
        <v>16</v>
      </c>
    </row>
    <row r="63" spans="1:4" ht="15.75" thickBot="1" x14ac:dyDescent="0.3">
      <c r="A63" s="2">
        <v>62</v>
      </c>
      <c r="B63" s="2">
        <v>5.7</v>
      </c>
      <c r="C63" s="2" t="s">
        <v>19</v>
      </c>
      <c r="D63" s="2" t="s">
        <v>16</v>
      </c>
    </row>
    <row r="64" spans="1:4" ht="15.75" thickBot="1" x14ac:dyDescent="0.3">
      <c r="A64" s="2">
        <v>63</v>
      </c>
      <c r="B64" s="2">
        <v>5.37</v>
      </c>
      <c r="C64" s="2" t="s">
        <v>19</v>
      </c>
      <c r="D64" s="2" t="s">
        <v>16</v>
      </c>
    </row>
    <row r="65" spans="1:17" ht="15.75" thickBot="1" x14ac:dyDescent="0.3">
      <c r="A65" s="2">
        <v>64</v>
      </c>
      <c r="B65" s="2">
        <v>5</v>
      </c>
      <c r="C65" s="2" t="s">
        <v>19</v>
      </c>
      <c r="D65" s="2" t="s">
        <v>16</v>
      </c>
    </row>
    <row r="66" spans="1:17" ht="15.75" thickBot="1" x14ac:dyDescent="0.3">
      <c r="A66" s="2">
        <v>65</v>
      </c>
      <c r="B66" s="2">
        <v>5.62</v>
      </c>
      <c r="C66" s="2" t="s">
        <v>19</v>
      </c>
      <c r="D66" s="2" t="s">
        <v>16</v>
      </c>
    </row>
    <row r="67" spans="1:17" ht="15.75" thickBot="1" x14ac:dyDescent="0.3">
      <c r="A67" s="2">
        <v>66</v>
      </c>
      <c r="B67" s="2">
        <v>4.8099999999999996</v>
      </c>
      <c r="C67" s="2" t="s">
        <v>19</v>
      </c>
      <c r="D67" s="2" t="s">
        <v>16</v>
      </c>
    </row>
    <row r="68" spans="1:17" ht="15.75" thickBot="1" x14ac:dyDescent="0.3">
      <c r="A68" s="2">
        <v>67</v>
      </c>
      <c r="B68" s="2">
        <v>4.71</v>
      </c>
      <c r="C68" s="2" t="s">
        <v>20</v>
      </c>
      <c r="D68" s="2" t="s">
        <v>15</v>
      </c>
    </row>
    <row r="69" spans="1:17" ht="15.75" thickBot="1" x14ac:dyDescent="0.3">
      <c r="A69" s="2">
        <v>68</v>
      </c>
      <c r="B69" s="2">
        <v>4.91</v>
      </c>
      <c r="C69" s="2" t="s">
        <v>20</v>
      </c>
      <c r="D69" s="2" t="s">
        <v>15</v>
      </c>
      <c r="F69" s="2">
        <v>67</v>
      </c>
      <c r="G69" s="2">
        <v>4.71</v>
      </c>
      <c r="H69" s="2" t="s">
        <v>20</v>
      </c>
      <c r="I69" s="2" t="s">
        <v>15</v>
      </c>
    </row>
    <row r="70" spans="1:17" ht="15.75" thickBot="1" x14ac:dyDescent="0.3">
      <c r="A70" s="2">
        <v>69</v>
      </c>
      <c r="B70" s="2">
        <v>5.0599999999999996</v>
      </c>
      <c r="C70" s="2" t="s">
        <v>20</v>
      </c>
      <c r="D70" s="2" t="s">
        <v>15</v>
      </c>
      <c r="F70" s="2">
        <v>68</v>
      </c>
      <c r="G70" s="2">
        <v>4.91</v>
      </c>
      <c r="H70" s="2" t="s">
        <v>20</v>
      </c>
      <c r="I70" s="2" t="s">
        <v>15</v>
      </c>
    </row>
    <row r="71" spans="1:17" ht="15.75" thickBot="1" x14ac:dyDescent="0.3">
      <c r="A71" s="2">
        <v>70</v>
      </c>
      <c r="B71" s="2">
        <v>4.72</v>
      </c>
      <c r="C71" s="2" t="s">
        <v>20</v>
      </c>
      <c r="D71" s="2" t="s">
        <v>15</v>
      </c>
      <c r="F71" s="2">
        <v>69</v>
      </c>
      <c r="G71" s="2">
        <v>5.0599999999999996</v>
      </c>
      <c r="H71" s="2" t="s">
        <v>20</v>
      </c>
      <c r="I71" s="2" t="s">
        <v>15</v>
      </c>
    </row>
    <row r="72" spans="1:17" ht="15.75" thickBot="1" x14ac:dyDescent="0.3">
      <c r="A72" s="2">
        <v>71</v>
      </c>
      <c r="B72" s="2">
        <v>4.76</v>
      </c>
      <c r="C72" s="2" t="s">
        <v>20</v>
      </c>
      <c r="D72" s="2" t="s">
        <v>15</v>
      </c>
      <c r="F72" s="2">
        <v>70</v>
      </c>
      <c r="G72" s="2">
        <v>4.72</v>
      </c>
      <c r="H72" s="2" t="s">
        <v>20</v>
      </c>
      <c r="I72" s="2" t="s">
        <v>15</v>
      </c>
    </row>
    <row r="73" spans="1:17" ht="15.75" thickBot="1" x14ac:dyDescent="0.3">
      <c r="A73" s="2">
        <v>72</v>
      </c>
      <c r="B73" s="2">
        <v>5.12</v>
      </c>
      <c r="C73" s="2" t="s">
        <v>20</v>
      </c>
      <c r="D73" s="2" t="s">
        <v>15</v>
      </c>
      <c r="F73" s="2">
        <v>71</v>
      </c>
      <c r="G73" s="2">
        <v>4.76</v>
      </c>
      <c r="H73" s="2" t="s">
        <v>20</v>
      </c>
      <c r="I73" s="2" t="s">
        <v>15</v>
      </c>
    </row>
    <row r="74" spans="1:17" ht="15.75" thickBot="1" x14ac:dyDescent="0.3">
      <c r="A74" s="2">
        <v>73</v>
      </c>
      <c r="B74" s="2">
        <v>4.6500000000000004</v>
      </c>
      <c r="C74" s="2" t="s">
        <v>20</v>
      </c>
      <c r="D74" s="2" t="s">
        <v>15</v>
      </c>
      <c r="F74" s="2">
        <v>72</v>
      </c>
      <c r="G74" s="2">
        <v>5.12</v>
      </c>
      <c r="H74" s="2" t="s">
        <v>20</v>
      </c>
      <c r="I74" s="2" t="s">
        <v>15</v>
      </c>
    </row>
    <row r="75" spans="1:17" ht="15.75" thickBot="1" x14ac:dyDescent="0.3">
      <c r="A75" s="2">
        <v>74</v>
      </c>
      <c r="B75" s="2">
        <v>5.51</v>
      </c>
      <c r="C75" s="2" t="s">
        <v>20</v>
      </c>
      <c r="D75" s="2" t="s">
        <v>15</v>
      </c>
      <c r="F75" s="2">
        <v>73</v>
      </c>
      <c r="G75" s="2">
        <v>4.6500000000000004</v>
      </c>
      <c r="H75" s="2" t="s">
        <v>20</v>
      </c>
      <c r="I75" s="2" t="s">
        <v>15</v>
      </c>
    </row>
    <row r="76" spans="1:17" ht="15.75" thickBot="1" x14ac:dyDescent="0.3">
      <c r="A76" s="2">
        <v>75</v>
      </c>
      <c r="B76" s="2">
        <v>5.07</v>
      </c>
      <c r="C76" s="2" t="s">
        <v>20</v>
      </c>
      <c r="D76" s="2" t="s">
        <v>15</v>
      </c>
      <c r="F76" s="2">
        <v>74</v>
      </c>
      <c r="G76" s="2">
        <v>5.51</v>
      </c>
      <c r="H76" s="2" t="s">
        <v>20</v>
      </c>
      <c r="I76" s="2" t="s">
        <v>15</v>
      </c>
    </row>
    <row r="77" spans="1:17" ht="15.75" thickBot="1" x14ac:dyDescent="0.3">
      <c r="A77" s="2">
        <v>76</v>
      </c>
      <c r="B77" s="2">
        <v>5.26</v>
      </c>
      <c r="C77" s="2" t="s">
        <v>20</v>
      </c>
      <c r="D77" s="2" t="s">
        <v>15</v>
      </c>
      <c r="F77" s="2">
        <v>75</v>
      </c>
      <c r="G77" s="2">
        <v>5.07</v>
      </c>
      <c r="H77" s="2" t="s">
        <v>20</v>
      </c>
      <c r="I77" s="2" t="s">
        <v>15</v>
      </c>
    </row>
    <row r="78" spans="1:17" ht="15.75" thickBot="1" x14ac:dyDescent="0.3">
      <c r="A78" s="2">
        <v>77</v>
      </c>
      <c r="B78" s="2">
        <v>7.02</v>
      </c>
      <c r="C78" s="2" t="s">
        <v>20</v>
      </c>
      <c r="D78" s="2" t="s">
        <v>16</v>
      </c>
      <c r="F78" s="1">
        <v>76</v>
      </c>
      <c r="G78" s="1">
        <v>5.26</v>
      </c>
      <c r="H78" s="1" t="s">
        <v>20</v>
      </c>
      <c r="I78" s="1" t="s">
        <v>15</v>
      </c>
    </row>
    <row r="79" spans="1:17" ht="15.75" thickBot="1" x14ac:dyDescent="0.3">
      <c r="A79" s="2">
        <v>78</v>
      </c>
      <c r="B79" s="2">
        <v>6.55</v>
      </c>
      <c r="C79" s="2" t="s">
        <v>20</v>
      </c>
      <c r="D79" s="2" t="s">
        <v>16</v>
      </c>
      <c r="F79" s="1">
        <v>77</v>
      </c>
      <c r="G79" s="1">
        <v>7.02</v>
      </c>
      <c r="H79" s="1" t="s">
        <v>20</v>
      </c>
      <c r="I79" s="1" t="s">
        <v>16</v>
      </c>
      <c r="L79" s="133" t="s">
        <v>27</v>
      </c>
      <c r="M79" s="133"/>
      <c r="N79" s="133"/>
      <c r="O79" s="133"/>
      <c r="P79" s="133"/>
      <c r="Q79" s="133"/>
    </row>
    <row r="80" spans="1:17" ht="15.75" thickBot="1" x14ac:dyDescent="0.3">
      <c r="A80" s="2">
        <v>79</v>
      </c>
      <c r="B80" s="2">
        <v>7.2</v>
      </c>
      <c r="C80" s="2" t="s">
        <v>20</v>
      </c>
      <c r="D80" s="2" t="s">
        <v>16</v>
      </c>
      <c r="F80" s="2">
        <v>78</v>
      </c>
      <c r="G80" s="2">
        <v>6.55</v>
      </c>
      <c r="H80" s="2" t="s">
        <v>20</v>
      </c>
      <c r="I80" s="2" t="s">
        <v>16</v>
      </c>
      <c r="M80" s="18" t="s">
        <v>120</v>
      </c>
      <c r="N80" s="18" t="s">
        <v>33</v>
      </c>
      <c r="O80" s="18" t="s">
        <v>38</v>
      </c>
    </row>
    <row r="81" spans="1:23" ht="15.75" thickBot="1" x14ac:dyDescent="0.3">
      <c r="A81" s="2">
        <v>80</v>
      </c>
      <c r="B81" s="2">
        <v>6.83</v>
      </c>
      <c r="C81" s="2" t="s">
        <v>20</v>
      </c>
      <c r="D81" s="2" t="s">
        <v>16</v>
      </c>
      <c r="F81" s="2">
        <v>79</v>
      </c>
      <c r="G81" s="2">
        <v>7.2</v>
      </c>
      <c r="H81" s="2" t="s">
        <v>20</v>
      </c>
      <c r="I81" s="2" t="s">
        <v>16</v>
      </c>
      <c r="L81" t="s">
        <v>14</v>
      </c>
      <c r="M81" s="61">
        <f>AVERAGE(G123:G137)</f>
        <v>4.9139999999999997</v>
      </c>
      <c r="N81" s="62">
        <f>AVERAGE(G123:G129)</f>
        <v>4.895714285714285</v>
      </c>
      <c r="O81" s="62">
        <f>AVERAGE(G130:G137)</f>
        <v>4.9300000000000006</v>
      </c>
      <c r="Q81" s="110" t="str">
        <f>GABARITO!C70</f>
        <v>Criando os gráficos para cada dia da semana, para qual dia da semana listado abaixo, é possível ver uma clara diferença na média do tempo de espera entre o período da tarde e da noite?</v>
      </c>
      <c r="R81" s="110"/>
      <c r="S81" s="110"/>
      <c r="T81" s="110"/>
      <c r="U81" s="110"/>
      <c r="V81" s="110"/>
      <c r="W81" s="110"/>
    </row>
    <row r="82" spans="1:23" ht="15.75" thickBot="1" x14ac:dyDescent="0.3">
      <c r="A82" s="2">
        <v>81</v>
      </c>
      <c r="B82" s="2">
        <v>7.1</v>
      </c>
      <c r="C82" s="2" t="s">
        <v>20</v>
      </c>
      <c r="D82" s="2" t="s">
        <v>16</v>
      </c>
      <c r="F82" s="2">
        <v>80</v>
      </c>
      <c r="G82" s="2">
        <v>6.83</v>
      </c>
      <c r="H82" s="2" t="s">
        <v>20</v>
      </c>
      <c r="I82" s="2" t="s">
        <v>16</v>
      </c>
      <c r="M82" s="18"/>
      <c r="N82" s="19"/>
      <c r="O82" s="19"/>
      <c r="Q82" s="110"/>
      <c r="R82" s="110"/>
      <c r="S82" s="110"/>
      <c r="T82" s="110"/>
      <c r="U82" s="110"/>
      <c r="V82" s="110"/>
      <c r="W82" s="110"/>
    </row>
    <row r="83" spans="1:23" ht="15.75" thickBot="1" x14ac:dyDescent="0.3">
      <c r="A83" s="2">
        <v>82</v>
      </c>
      <c r="B83" s="2">
        <v>6.86</v>
      </c>
      <c r="C83" s="2" t="s">
        <v>20</v>
      </c>
      <c r="D83" s="2" t="s">
        <v>16</v>
      </c>
      <c r="F83" s="2">
        <v>81</v>
      </c>
      <c r="G83" s="2">
        <v>7.1</v>
      </c>
      <c r="H83" s="2" t="s">
        <v>20</v>
      </c>
      <c r="I83" s="2" t="s">
        <v>16</v>
      </c>
      <c r="L83" t="s">
        <v>26</v>
      </c>
      <c r="M83" s="61">
        <f>AVERAGE(L105:L120)</f>
        <v>5.1606250000000014</v>
      </c>
      <c r="N83" s="62">
        <f>AVERAGE(L105:L111)</f>
        <v>5.1157142857142857</v>
      </c>
      <c r="O83" s="62">
        <f>AVERAGE(L112:L120)</f>
        <v>5.195555555555555</v>
      </c>
    </row>
    <row r="84" spans="1:23" ht="15.75" thickBot="1" x14ac:dyDescent="0.3">
      <c r="A84" s="2">
        <v>83</v>
      </c>
      <c r="B84" s="2">
        <v>5.5</v>
      </c>
      <c r="C84" s="2" t="s">
        <v>20</v>
      </c>
      <c r="D84" s="2" t="s">
        <v>16</v>
      </c>
      <c r="F84" s="2">
        <v>82</v>
      </c>
      <c r="G84" s="2">
        <v>6.86</v>
      </c>
      <c r="H84" s="2" t="s">
        <v>20</v>
      </c>
      <c r="I84" s="2" t="s">
        <v>16</v>
      </c>
      <c r="M84" s="18"/>
      <c r="N84" s="19"/>
      <c r="O84" s="19"/>
    </row>
    <row r="85" spans="1:23" ht="15.75" thickBot="1" x14ac:dyDescent="0.3">
      <c r="A85" s="2">
        <v>84</v>
      </c>
      <c r="B85" s="2">
        <v>6.32</v>
      </c>
      <c r="C85" s="2" t="s">
        <v>20</v>
      </c>
      <c r="D85" s="2" t="s">
        <v>16</v>
      </c>
      <c r="F85" s="2">
        <v>83</v>
      </c>
      <c r="G85" s="2">
        <v>5.5</v>
      </c>
      <c r="H85" s="2" t="s">
        <v>20</v>
      </c>
      <c r="I85" s="2" t="s">
        <v>16</v>
      </c>
      <c r="L85" t="s">
        <v>20</v>
      </c>
      <c r="M85" s="61">
        <f>AVERAGE(G69:G103)</f>
        <v>6.0762857142857136</v>
      </c>
      <c r="N85" s="63">
        <f>AVERAGE(G69:G78)</f>
        <v>4.9769999999999994</v>
      </c>
      <c r="O85" s="63">
        <f>AVERAGE(G79:G103)</f>
        <v>6.516</v>
      </c>
      <c r="P85" t="s">
        <v>122</v>
      </c>
    </row>
    <row r="86" spans="1:23" ht="15.75" thickBot="1" x14ac:dyDescent="0.3">
      <c r="A86" s="2">
        <v>85</v>
      </c>
      <c r="B86" s="2">
        <v>6.16</v>
      </c>
      <c r="C86" s="2" t="s">
        <v>20</v>
      </c>
      <c r="D86" s="2" t="s">
        <v>16</v>
      </c>
      <c r="F86" s="2">
        <v>84</v>
      </c>
      <c r="G86" s="2">
        <v>6.32</v>
      </c>
      <c r="H86" s="2" t="s">
        <v>20</v>
      </c>
      <c r="I86" s="2" t="s">
        <v>16</v>
      </c>
      <c r="M86" s="61"/>
      <c r="N86" s="62"/>
      <c r="O86" s="62"/>
    </row>
    <row r="87" spans="1:23" ht="15.75" thickBot="1" x14ac:dyDescent="0.3">
      <c r="A87" s="2">
        <v>86</v>
      </c>
      <c r="B87" s="2">
        <v>6.31</v>
      </c>
      <c r="C87" s="2" t="s">
        <v>20</v>
      </c>
      <c r="D87" s="2" t="s">
        <v>16</v>
      </c>
      <c r="F87" s="2">
        <v>85</v>
      </c>
      <c r="G87" s="2">
        <v>6.16</v>
      </c>
      <c r="H87" s="2" t="s">
        <v>20</v>
      </c>
      <c r="I87" s="2" t="s">
        <v>16</v>
      </c>
      <c r="L87" t="s">
        <v>22</v>
      </c>
      <c r="M87" s="61">
        <f>AVERAGE(G105:G121)</f>
        <v>5.1305882352941188</v>
      </c>
      <c r="N87" s="62">
        <f>AVERAGE(G105:G117)</f>
        <v>5.1976923076923081</v>
      </c>
      <c r="O87" s="62">
        <f>AVERAGE(G118:G121)</f>
        <v>4.9124999999999996</v>
      </c>
      <c r="P87" t="s">
        <v>123</v>
      </c>
    </row>
    <row r="88" spans="1:23" ht="15.75" thickBot="1" x14ac:dyDescent="0.3">
      <c r="A88" s="2">
        <v>87</v>
      </c>
      <c r="B88" s="2">
        <v>6.8</v>
      </c>
      <c r="C88" s="2" t="s">
        <v>20</v>
      </c>
      <c r="D88" s="2" t="s">
        <v>16</v>
      </c>
      <c r="F88" s="2">
        <v>86</v>
      </c>
      <c r="G88" s="2">
        <v>6.31</v>
      </c>
      <c r="H88" s="2" t="s">
        <v>20</v>
      </c>
      <c r="I88" s="2" t="s">
        <v>16</v>
      </c>
    </row>
    <row r="89" spans="1:23" ht="15.75" thickBot="1" x14ac:dyDescent="0.3">
      <c r="A89" s="2">
        <v>88</v>
      </c>
      <c r="B89" s="2">
        <v>5.96</v>
      </c>
      <c r="C89" s="2" t="s">
        <v>20</v>
      </c>
      <c r="D89" s="2" t="s">
        <v>16</v>
      </c>
      <c r="F89" s="2">
        <v>87</v>
      </c>
      <c r="G89" s="2">
        <v>6.8</v>
      </c>
      <c r="H89" s="2" t="s">
        <v>20</v>
      </c>
      <c r="I89" s="2" t="s">
        <v>16</v>
      </c>
    </row>
    <row r="90" spans="1:23" ht="15.75" thickBot="1" x14ac:dyDescent="0.3">
      <c r="A90" s="2">
        <v>89</v>
      </c>
      <c r="B90" s="2">
        <v>6.5</v>
      </c>
      <c r="C90" s="2" t="s">
        <v>20</v>
      </c>
      <c r="D90" s="2" t="s">
        <v>16</v>
      </c>
      <c r="F90" s="2">
        <v>88</v>
      </c>
      <c r="G90" s="2">
        <v>5.96</v>
      </c>
      <c r="H90" s="2" t="s">
        <v>20</v>
      </c>
      <c r="I90" s="2" t="s">
        <v>16</v>
      </c>
    </row>
    <row r="91" spans="1:23" ht="15.75" thickBot="1" x14ac:dyDescent="0.3">
      <c r="A91" s="2">
        <v>90</v>
      </c>
      <c r="B91" s="2">
        <v>6.46</v>
      </c>
      <c r="C91" s="2" t="s">
        <v>20</v>
      </c>
      <c r="D91" s="2" t="s">
        <v>16</v>
      </c>
      <c r="F91" s="2">
        <v>89</v>
      </c>
      <c r="G91" s="2">
        <v>6.5</v>
      </c>
      <c r="H91" s="2" t="s">
        <v>20</v>
      </c>
      <c r="I91" s="2" t="s">
        <v>16</v>
      </c>
    </row>
    <row r="92" spans="1:23" ht="15.75" thickBot="1" x14ac:dyDescent="0.3">
      <c r="A92" s="2">
        <v>91</v>
      </c>
      <c r="B92" s="2">
        <v>6.29</v>
      </c>
      <c r="C92" s="2" t="s">
        <v>20</v>
      </c>
      <c r="D92" s="2" t="s">
        <v>16</v>
      </c>
      <c r="F92" s="2">
        <v>90</v>
      </c>
      <c r="G92" s="2">
        <v>6.46</v>
      </c>
      <c r="H92" s="2" t="s">
        <v>20</v>
      </c>
      <c r="I92" s="2" t="s">
        <v>16</v>
      </c>
    </row>
    <row r="93" spans="1:23" ht="15.75" thickBot="1" x14ac:dyDescent="0.3">
      <c r="A93" s="2">
        <v>92</v>
      </c>
      <c r="B93" s="2">
        <v>6.25</v>
      </c>
      <c r="C93" s="2" t="s">
        <v>20</v>
      </c>
      <c r="D93" s="2" t="s">
        <v>16</v>
      </c>
      <c r="F93" s="2">
        <v>91</v>
      </c>
      <c r="G93" s="2">
        <v>6.29</v>
      </c>
      <c r="H93" s="2" t="s">
        <v>20</v>
      </c>
      <c r="I93" s="2" t="s">
        <v>16</v>
      </c>
    </row>
    <row r="94" spans="1:23" ht="15.75" thickBot="1" x14ac:dyDescent="0.3">
      <c r="A94" s="2">
        <v>93</v>
      </c>
      <c r="B94" s="2">
        <v>7.02</v>
      </c>
      <c r="C94" s="2" t="s">
        <v>20</v>
      </c>
      <c r="D94" s="2" t="s">
        <v>16</v>
      </c>
      <c r="F94" s="2">
        <v>92</v>
      </c>
      <c r="G94" s="2">
        <v>6.25</v>
      </c>
      <c r="H94" s="2" t="s">
        <v>20</v>
      </c>
      <c r="I94" s="2" t="s">
        <v>16</v>
      </c>
    </row>
    <row r="95" spans="1:23" ht="15.75" thickBot="1" x14ac:dyDescent="0.3">
      <c r="A95" s="2">
        <v>94</v>
      </c>
      <c r="B95" s="2">
        <v>6.19</v>
      </c>
      <c r="C95" s="2" t="s">
        <v>20</v>
      </c>
      <c r="D95" s="2" t="s">
        <v>16</v>
      </c>
      <c r="F95" s="2">
        <v>93</v>
      </c>
      <c r="G95" s="2">
        <v>7.02</v>
      </c>
      <c r="H95" s="2" t="s">
        <v>20</v>
      </c>
      <c r="I95" s="2" t="s">
        <v>16</v>
      </c>
    </row>
    <row r="96" spans="1:23" ht="15.75" thickBot="1" x14ac:dyDescent="0.3">
      <c r="A96" s="2">
        <v>95</v>
      </c>
      <c r="B96" s="2">
        <v>6.16</v>
      </c>
      <c r="C96" s="2" t="s">
        <v>20</v>
      </c>
      <c r="D96" s="2" t="s">
        <v>16</v>
      </c>
      <c r="F96" s="2">
        <v>94</v>
      </c>
      <c r="G96" s="2">
        <v>6.19</v>
      </c>
      <c r="H96" s="2" t="s">
        <v>20</v>
      </c>
      <c r="I96" s="2" t="s">
        <v>16</v>
      </c>
    </row>
    <row r="97" spans="1:14" ht="15.75" thickBot="1" x14ac:dyDescent="0.3">
      <c r="A97" s="2">
        <v>96</v>
      </c>
      <c r="B97" s="2">
        <v>6.64</v>
      </c>
      <c r="C97" s="2" t="s">
        <v>20</v>
      </c>
      <c r="D97" s="2" t="s">
        <v>16</v>
      </c>
      <c r="F97" s="2">
        <v>95</v>
      </c>
      <c r="G97" s="2">
        <v>6.16</v>
      </c>
      <c r="H97" s="2" t="s">
        <v>20</v>
      </c>
      <c r="I97" s="2" t="s">
        <v>16</v>
      </c>
    </row>
    <row r="98" spans="1:14" ht="15.75" thickBot="1" x14ac:dyDescent="0.3">
      <c r="A98" s="2">
        <v>97</v>
      </c>
      <c r="B98" s="2">
        <v>5.65</v>
      </c>
      <c r="C98" s="2" t="s">
        <v>20</v>
      </c>
      <c r="D98" s="2" t="s">
        <v>16</v>
      </c>
      <c r="F98" s="2">
        <v>96</v>
      </c>
      <c r="G98" s="2">
        <v>6.64</v>
      </c>
      <c r="H98" s="2" t="s">
        <v>20</v>
      </c>
      <c r="I98" s="2" t="s">
        <v>16</v>
      </c>
    </row>
    <row r="99" spans="1:14" ht="15.75" thickBot="1" x14ac:dyDescent="0.3">
      <c r="A99" s="2">
        <v>98</v>
      </c>
      <c r="B99" s="2">
        <v>6.83</v>
      </c>
      <c r="C99" s="2" t="s">
        <v>20</v>
      </c>
      <c r="D99" s="2" t="s">
        <v>16</v>
      </c>
      <c r="F99" s="2">
        <v>97</v>
      </c>
      <c r="G99" s="2">
        <v>5.65</v>
      </c>
      <c r="H99" s="2" t="s">
        <v>20</v>
      </c>
      <c r="I99" s="2" t="s">
        <v>16</v>
      </c>
    </row>
    <row r="100" spans="1:14" ht="15.75" thickBot="1" x14ac:dyDescent="0.3">
      <c r="A100" s="2">
        <v>99</v>
      </c>
      <c r="B100" s="2">
        <v>6.27</v>
      </c>
      <c r="C100" s="2" t="s">
        <v>20</v>
      </c>
      <c r="D100" s="2" t="s">
        <v>16</v>
      </c>
      <c r="F100" s="2">
        <v>98</v>
      </c>
      <c r="G100" s="2">
        <v>6.83</v>
      </c>
      <c r="H100" s="2" t="s">
        <v>20</v>
      </c>
      <c r="I100" s="2" t="s">
        <v>16</v>
      </c>
    </row>
    <row r="101" spans="1:14" ht="15.75" thickBot="1" x14ac:dyDescent="0.3">
      <c r="A101" s="2">
        <v>100</v>
      </c>
      <c r="B101" s="2">
        <v>7.2</v>
      </c>
      <c r="C101" s="2" t="s">
        <v>20</v>
      </c>
      <c r="D101" s="2" t="s">
        <v>16</v>
      </c>
      <c r="F101" s="2">
        <v>99</v>
      </c>
      <c r="G101" s="2">
        <v>6.27</v>
      </c>
      <c r="H101" s="2" t="s">
        <v>20</v>
      </c>
      <c r="I101" s="2" t="s">
        <v>16</v>
      </c>
    </row>
    <row r="102" spans="1:14" ht="15.75" thickBot="1" x14ac:dyDescent="0.3">
      <c r="A102" s="2">
        <v>101</v>
      </c>
      <c r="B102" s="2">
        <v>6.83</v>
      </c>
      <c r="C102" s="2" t="s">
        <v>20</v>
      </c>
      <c r="D102" s="2" t="s">
        <v>16</v>
      </c>
      <c r="F102" s="2">
        <v>100</v>
      </c>
      <c r="G102" s="2">
        <v>7.2</v>
      </c>
      <c r="H102" s="2" t="s">
        <v>20</v>
      </c>
      <c r="I102" s="2" t="s">
        <v>16</v>
      </c>
    </row>
    <row r="103" spans="1:14" ht="15.75" thickBot="1" x14ac:dyDescent="0.3">
      <c r="A103" s="2">
        <v>102</v>
      </c>
      <c r="B103" s="2">
        <v>5.37</v>
      </c>
      <c r="C103" s="2" t="s">
        <v>21</v>
      </c>
      <c r="D103" s="2" t="s">
        <v>15</v>
      </c>
      <c r="F103" s="2">
        <v>101</v>
      </c>
      <c r="G103" s="2">
        <v>6.83</v>
      </c>
      <c r="H103" s="2" t="s">
        <v>20</v>
      </c>
      <c r="I103" s="2" t="s">
        <v>16</v>
      </c>
    </row>
    <row r="104" spans="1:14" ht="15.75" thickBot="1" x14ac:dyDescent="0.3">
      <c r="A104" s="2">
        <v>103</v>
      </c>
      <c r="B104" s="2">
        <v>5.52</v>
      </c>
      <c r="C104" s="2" t="s">
        <v>21</v>
      </c>
      <c r="D104" s="2" t="s">
        <v>15</v>
      </c>
    </row>
    <row r="105" spans="1:14" ht="15.75" thickBot="1" x14ac:dyDescent="0.3">
      <c r="A105" s="2">
        <v>104</v>
      </c>
      <c r="B105" s="2">
        <v>4.6100000000000003</v>
      </c>
      <c r="C105" s="2" t="s">
        <v>21</v>
      </c>
      <c r="D105" s="2" t="s">
        <v>15</v>
      </c>
      <c r="F105" s="2">
        <v>144</v>
      </c>
      <c r="G105" s="2">
        <v>5.04</v>
      </c>
      <c r="H105" s="2" t="s">
        <v>22</v>
      </c>
      <c r="I105" s="2" t="s">
        <v>15</v>
      </c>
      <c r="K105" s="2">
        <v>31</v>
      </c>
      <c r="L105" s="2">
        <v>5.07</v>
      </c>
      <c r="M105" s="2" t="s">
        <v>18</v>
      </c>
      <c r="N105" s="2" t="s">
        <v>15</v>
      </c>
    </row>
    <row r="106" spans="1:14" ht="15.75" thickBot="1" x14ac:dyDescent="0.3">
      <c r="A106" s="2">
        <v>105</v>
      </c>
      <c r="B106" s="2">
        <v>5.66</v>
      </c>
      <c r="C106" s="2" t="s">
        <v>21</v>
      </c>
      <c r="D106" s="2" t="s">
        <v>15</v>
      </c>
      <c r="F106" s="2">
        <v>145</v>
      </c>
      <c r="G106" s="2">
        <v>4.95</v>
      </c>
      <c r="H106" s="2" t="s">
        <v>22</v>
      </c>
      <c r="I106" s="2" t="s">
        <v>15</v>
      </c>
      <c r="K106" s="2">
        <v>32</v>
      </c>
      <c r="L106" s="2">
        <v>4.87</v>
      </c>
      <c r="M106" s="2" t="s">
        <v>18</v>
      </c>
      <c r="N106" s="2" t="s">
        <v>15</v>
      </c>
    </row>
    <row r="107" spans="1:14" ht="15.75" thickBot="1" x14ac:dyDescent="0.3">
      <c r="A107" s="2">
        <v>106</v>
      </c>
      <c r="B107" s="2">
        <v>5.16</v>
      </c>
      <c r="C107" s="2" t="s">
        <v>21</v>
      </c>
      <c r="D107" s="2" t="s">
        <v>15</v>
      </c>
      <c r="F107" s="2">
        <v>146</v>
      </c>
      <c r="G107" s="2">
        <v>5.74</v>
      </c>
      <c r="H107" s="2" t="s">
        <v>22</v>
      </c>
      <c r="I107" s="2" t="s">
        <v>15</v>
      </c>
      <c r="K107" s="2">
        <v>33</v>
      </c>
      <c r="L107" s="2">
        <v>5.3</v>
      </c>
      <c r="M107" s="2" t="s">
        <v>18</v>
      </c>
      <c r="N107" s="2" t="s">
        <v>15</v>
      </c>
    </row>
    <row r="108" spans="1:14" ht="15.75" thickBot="1" x14ac:dyDescent="0.3">
      <c r="A108" s="2">
        <v>107</v>
      </c>
      <c r="B108" s="2">
        <v>5.41</v>
      </c>
      <c r="C108" s="2" t="s">
        <v>21</v>
      </c>
      <c r="D108" s="2" t="s">
        <v>15</v>
      </c>
      <c r="F108" s="2">
        <v>147</v>
      </c>
      <c r="G108" s="2">
        <v>5.37</v>
      </c>
      <c r="H108" s="2" t="s">
        <v>22</v>
      </c>
      <c r="I108" s="2" t="s">
        <v>15</v>
      </c>
      <c r="K108" s="2">
        <v>34</v>
      </c>
      <c r="L108" s="2">
        <v>5.1100000000000003</v>
      </c>
      <c r="M108" s="2" t="s">
        <v>18</v>
      </c>
      <c r="N108" s="2" t="s">
        <v>15</v>
      </c>
    </row>
    <row r="109" spans="1:14" ht="15.75" thickBot="1" x14ac:dyDescent="0.3">
      <c r="A109" s="2">
        <v>108</v>
      </c>
      <c r="B109" s="2">
        <v>5.07</v>
      </c>
      <c r="C109" s="2" t="s">
        <v>21</v>
      </c>
      <c r="D109" s="2" t="s">
        <v>15</v>
      </c>
      <c r="F109" s="2">
        <v>148</v>
      </c>
      <c r="G109" s="2">
        <v>5.19</v>
      </c>
      <c r="H109" s="2" t="s">
        <v>22</v>
      </c>
      <c r="I109" s="2" t="s">
        <v>15</v>
      </c>
      <c r="K109" s="2">
        <v>35</v>
      </c>
      <c r="L109" s="2">
        <v>5.09</v>
      </c>
      <c r="M109" s="2" t="s">
        <v>18</v>
      </c>
      <c r="N109" s="2" t="s">
        <v>15</v>
      </c>
    </row>
    <row r="110" spans="1:14" ht="15.75" thickBot="1" x14ac:dyDescent="0.3">
      <c r="A110" s="2">
        <v>109</v>
      </c>
      <c r="B110" s="2">
        <v>5.15</v>
      </c>
      <c r="C110" s="2" t="s">
        <v>21</v>
      </c>
      <c r="D110" s="2" t="s">
        <v>15</v>
      </c>
      <c r="F110" s="2">
        <v>149</v>
      </c>
      <c r="G110" s="2">
        <v>5.58</v>
      </c>
      <c r="H110" s="2" t="s">
        <v>22</v>
      </c>
      <c r="I110" s="2" t="s">
        <v>15</v>
      </c>
      <c r="K110" s="2">
        <v>36</v>
      </c>
      <c r="L110" s="2">
        <v>5.55</v>
      </c>
      <c r="M110" s="2" t="s">
        <v>18</v>
      </c>
      <c r="N110" s="2" t="s">
        <v>15</v>
      </c>
    </row>
    <row r="111" spans="1:14" ht="15.75" thickBot="1" x14ac:dyDescent="0.3">
      <c r="A111" s="2">
        <v>110</v>
      </c>
      <c r="B111" s="2">
        <v>5.23</v>
      </c>
      <c r="C111" s="2" t="s">
        <v>21</v>
      </c>
      <c r="D111" s="2" t="s">
        <v>15</v>
      </c>
      <c r="F111" s="2">
        <v>150</v>
      </c>
      <c r="G111" s="2">
        <v>4.7</v>
      </c>
      <c r="H111" s="2" t="s">
        <v>22</v>
      </c>
      <c r="I111" s="2" t="s">
        <v>15</v>
      </c>
      <c r="K111" s="2">
        <v>37</v>
      </c>
      <c r="L111" s="2">
        <v>4.82</v>
      </c>
      <c r="M111" s="2" t="s">
        <v>18</v>
      </c>
      <c r="N111" s="2" t="s">
        <v>15</v>
      </c>
    </row>
    <row r="112" spans="1:14" ht="15.75" thickBot="1" x14ac:dyDescent="0.3">
      <c r="A112" s="2">
        <v>111</v>
      </c>
      <c r="B112" s="2">
        <v>4.8600000000000003</v>
      </c>
      <c r="C112" s="2" t="s">
        <v>21</v>
      </c>
      <c r="D112" s="2" t="s">
        <v>15</v>
      </c>
      <c r="F112" s="2">
        <v>151</v>
      </c>
      <c r="G112" s="2">
        <v>5.1100000000000003</v>
      </c>
      <c r="H112" s="2" t="s">
        <v>22</v>
      </c>
      <c r="I112" s="2" t="s">
        <v>15</v>
      </c>
      <c r="K112" s="2">
        <v>38</v>
      </c>
      <c r="L112" s="2">
        <v>4.7</v>
      </c>
      <c r="M112" s="2" t="s">
        <v>18</v>
      </c>
      <c r="N112" s="2" t="s">
        <v>16</v>
      </c>
    </row>
    <row r="113" spans="1:14" ht="15.75" thickBot="1" x14ac:dyDescent="0.3">
      <c r="A113" s="2">
        <v>112</v>
      </c>
      <c r="B113" s="2">
        <v>5.13</v>
      </c>
      <c r="C113" s="2" t="s">
        <v>21</v>
      </c>
      <c r="D113" s="2" t="s">
        <v>15</v>
      </c>
      <c r="F113" s="2">
        <v>152</v>
      </c>
      <c r="G113" s="2">
        <v>4.82</v>
      </c>
      <c r="H113" s="2" t="s">
        <v>22</v>
      </c>
      <c r="I113" s="2" t="s">
        <v>15</v>
      </c>
      <c r="K113" s="2">
        <v>39</v>
      </c>
      <c r="L113" s="2">
        <v>5.18</v>
      </c>
      <c r="M113" s="2" t="s">
        <v>18</v>
      </c>
      <c r="N113" s="2" t="s">
        <v>16</v>
      </c>
    </row>
    <row r="114" spans="1:14" ht="15.75" thickBot="1" x14ac:dyDescent="0.3">
      <c r="A114" s="2">
        <v>113</v>
      </c>
      <c r="B114" s="2">
        <v>4.74</v>
      </c>
      <c r="C114" s="2" t="s">
        <v>21</v>
      </c>
      <c r="D114" s="2" t="s">
        <v>15</v>
      </c>
      <c r="F114" s="2">
        <v>153</v>
      </c>
      <c r="G114" s="2">
        <v>5.25</v>
      </c>
      <c r="H114" s="2" t="s">
        <v>22</v>
      </c>
      <c r="I114" s="2" t="s">
        <v>15</v>
      </c>
      <c r="K114" s="2">
        <v>40</v>
      </c>
      <c r="L114" s="2">
        <v>5.16</v>
      </c>
      <c r="M114" s="2" t="s">
        <v>18</v>
      </c>
      <c r="N114" s="2" t="s">
        <v>16</v>
      </c>
    </row>
    <row r="115" spans="1:14" ht="15.75" thickBot="1" x14ac:dyDescent="0.3">
      <c r="A115" s="2">
        <v>114</v>
      </c>
      <c r="B115" s="2">
        <v>5.25</v>
      </c>
      <c r="C115" s="2" t="s">
        <v>21</v>
      </c>
      <c r="D115" s="2" t="s">
        <v>15</v>
      </c>
      <c r="F115" s="2">
        <v>154</v>
      </c>
      <c r="G115" s="2">
        <v>5.63</v>
      </c>
      <c r="H115" s="2" t="s">
        <v>22</v>
      </c>
      <c r="I115" s="2" t="s">
        <v>15</v>
      </c>
      <c r="K115" s="2">
        <v>41</v>
      </c>
      <c r="L115" s="2">
        <v>5.22</v>
      </c>
      <c r="M115" s="2" t="s">
        <v>18</v>
      </c>
      <c r="N115" s="2" t="s">
        <v>16</v>
      </c>
    </row>
    <row r="116" spans="1:14" ht="15.75" thickBot="1" x14ac:dyDescent="0.3">
      <c r="A116" s="2">
        <v>115</v>
      </c>
      <c r="B116" s="2">
        <v>5.61</v>
      </c>
      <c r="C116" s="2" t="s">
        <v>21</v>
      </c>
      <c r="D116" s="2" t="s">
        <v>15</v>
      </c>
      <c r="F116" s="2">
        <v>155</v>
      </c>
      <c r="G116" s="2">
        <v>5.15</v>
      </c>
      <c r="H116" s="2" t="s">
        <v>22</v>
      </c>
      <c r="I116" s="2" t="s">
        <v>15</v>
      </c>
      <c r="K116" s="2">
        <v>42</v>
      </c>
      <c r="L116" s="2">
        <v>5.36</v>
      </c>
      <c r="M116" s="2" t="s">
        <v>18</v>
      </c>
      <c r="N116" s="2" t="s">
        <v>16</v>
      </c>
    </row>
    <row r="117" spans="1:14" ht="15.75" thickBot="1" x14ac:dyDescent="0.3">
      <c r="A117" s="2">
        <v>116</v>
      </c>
      <c r="B117" s="2">
        <v>8.14</v>
      </c>
      <c r="C117" s="2" t="s">
        <v>21</v>
      </c>
      <c r="D117" s="2" t="s">
        <v>16</v>
      </c>
      <c r="F117" s="2">
        <v>156</v>
      </c>
      <c r="G117" s="2">
        <v>5.04</v>
      </c>
      <c r="H117" s="2" t="s">
        <v>22</v>
      </c>
      <c r="I117" s="2" t="s">
        <v>15</v>
      </c>
      <c r="K117" s="2">
        <v>43</v>
      </c>
      <c r="L117" s="2">
        <v>5.3</v>
      </c>
      <c r="M117" s="2" t="s">
        <v>18</v>
      </c>
      <c r="N117" s="2" t="s">
        <v>16</v>
      </c>
    </row>
    <row r="118" spans="1:14" ht="15.75" thickBot="1" x14ac:dyDescent="0.3">
      <c r="A118" s="2">
        <v>117</v>
      </c>
      <c r="B118" s="2">
        <v>5.74</v>
      </c>
      <c r="C118" s="2" t="s">
        <v>21</v>
      </c>
      <c r="D118" s="2" t="s">
        <v>16</v>
      </c>
      <c r="F118" s="2">
        <v>157</v>
      </c>
      <c r="G118" s="2">
        <v>4.92</v>
      </c>
      <c r="H118" s="2" t="s">
        <v>22</v>
      </c>
      <c r="I118" s="2" t="s">
        <v>16</v>
      </c>
      <c r="K118" s="2">
        <v>44</v>
      </c>
      <c r="L118" s="2">
        <v>5.51</v>
      </c>
      <c r="M118" s="2" t="s">
        <v>18</v>
      </c>
      <c r="N118" s="2" t="s">
        <v>16</v>
      </c>
    </row>
    <row r="119" spans="1:14" ht="15.75" thickBot="1" x14ac:dyDescent="0.3">
      <c r="A119" s="2">
        <v>118</v>
      </c>
      <c r="B119" s="2">
        <v>7.87</v>
      </c>
      <c r="C119" s="2" t="s">
        <v>21</v>
      </c>
      <c r="D119" s="2" t="s">
        <v>16</v>
      </c>
      <c r="F119" s="2">
        <v>158</v>
      </c>
      <c r="G119" s="2">
        <v>4.87</v>
      </c>
      <c r="H119" s="2" t="s">
        <v>22</v>
      </c>
      <c r="I119" s="2" t="s">
        <v>16</v>
      </c>
      <c r="K119" s="2">
        <v>45</v>
      </c>
      <c r="L119" s="2">
        <v>5.15</v>
      </c>
      <c r="M119" s="2" t="s">
        <v>18</v>
      </c>
      <c r="N119" s="2" t="s">
        <v>16</v>
      </c>
    </row>
    <row r="120" spans="1:14" ht="15.75" thickBot="1" x14ac:dyDescent="0.3">
      <c r="A120" s="2">
        <v>119</v>
      </c>
      <c r="B120" s="2">
        <v>4.59</v>
      </c>
      <c r="C120" s="2" t="s">
        <v>21</v>
      </c>
      <c r="D120" s="2" t="s">
        <v>16</v>
      </c>
      <c r="F120" s="2">
        <v>159</v>
      </c>
      <c r="G120" s="2">
        <v>4.91</v>
      </c>
      <c r="H120" s="2" t="s">
        <v>22</v>
      </c>
      <c r="I120" s="2" t="s">
        <v>16</v>
      </c>
      <c r="K120" s="2">
        <v>46</v>
      </c>
      <c r="L120" s="2">
        <v>5.18</v>
      </c>
      <c r="M120" s="2" t="s">
        <v>18</v>
      </c>
      <c r="N120" s="2" t="s">
        <v>16</v>
      </c>
    </row>
    <row r="121" spans="1:14" ht="15.75" thickBot="1" x14ac:dyDescent="0.3">
      <c r="A121" s="2">
        <v>120</v>
      </c>
      <c r="B121" s="2">
        <v>7.39</v>
      </c>
      <c r="C121" s="2" t="s">
        <v>21</v>
      </c>
      <c r="D121" s="2" t="s">
        <v>16</v>
      </c>
      <c r="F121" s="2">
        <v>160</v>
      </c>
      <c r="G121" s="2">
        <v>4.95</v>
      </c>
      <c r="H121" s="2" t="s">
        <v>22</v>
      </c>
      <c r="I121" s="2" t="s">
        <v>16</v>
      </c>
    </row>
    <row r="122" spans="1:14" ht="15.75" thickBot="1" x14ac:dyDescent="0.3">
      <c r="A122" s="2">
        <v>121</v>
      </c>
      <c r="B122" s="2">
        <v>6.09</v>
      </c>
      <c r="C122" s="2" t="s">
        <v>21</v>
      </c>
      <c r="D122" s="2" t="s">
        <v>16</v>
      </c>
      <c r="K122" s="2">
        <v>47</v>
      </c>
      <c r="L122" s="2">
        <v>5.0999999999999996</v>
      </c>
      <c r="M122" s="2" t="s">
        <v>19</v>
      </c>
      <c r="N122" s="2" t="s">
        <v>15</v>
      </c>
    </row>
    <row r="123" spans="1:14" ht="15.75" thickBot="1" x14ac:dyDescent="0.3">
      <c r="A123" s="2">
        <v>122</v>
      </c>
      <c r="B123" s="2">
        <v>8.1</v>
      </c>
      <c r="C123" s="2" t="s">
        <v>21</v>
      </c>
      <c r="D123" s="2" t="s">
        <v>16</v>
      </c>
      <c r="F123" s="2">
        <v>1</v>
      </c>
      <c r="G123" s="2">
        <v>4.83</v>
      </c>
      <c r="H123" s="2" t="s">
        <v>14</v>
      </c>
      <c r="I123" s="2" t="s">
        <v>15</v>
      </c>
      <c r="K123" s="2">
        <v>48</v>
      </c>
      <c r="L123" s="2">
        <v>5.29</v>
      </c>
      <c r="M123" s="2" t="s">
        <v>19</v>
      </c>
      <c r="N123" s="2" t="s">
        <v>15</v>
      </c>
    </row>
    <row r="124" spans="1:14" ht="15.75" thickBot="1" x14ac:dyDescent="0.3">
      <c r="A124" s="2">
        <v>123</v>
      </c>
      <c r="B124" s="2">
        <v>7.09</v>
      </c>
      <c r="C124" s="2" t="s">
        <v>21</v>
      </c>
      <c r="D124" s="2" t="s">
        <v>16</v>
      </c>
      <c r="F124" s="2">
        <v>2</v>
      </c>
      <c r="G124" s="2">
        <v>4.78</v>
      </c>
      <c r="H124" s="2" t="s">
        <v>14</v>
      </c>
      <c r="I124" s="2" t="s">
        <v>15</v>
      </c>
      <c r="K124" s="2">
        <v>49</v>
      </c>
      <c r="L124" s="2">
        <v>5.85</v>
      </c>
      <c r="M124" s="2" t="s">
        <v>19</v>
      </c>
      <c r="N124" s="2" t="s">
        <v>15</v>
      </c>
    </row>
    <row r="125" spans="1:14" ht="15.75" thickBot="1" x14ac:dyDescent="0.3">
      <c r="A125" s="2">
        <v>124</v>
      </c>
      <c r="B125" s="2">
        <v>7.58</v>
      </c>
      <c r="C125" s="2" t="s">
        <v>21</v>
      </c>
      <c r="D125" s="2" t="s">
        <v>16</v>
      </c>
      <c r="F125" s="2">
        <v>3</v>
      </c>
      <c r="G125" s="2">
        <v>4.5999999999999996</v>
      </c>
      <c r="H125" s="2" t="s">
        <v>14</v>
      </c>
      <c r="I125" s="2" t="s">
        <v>15</v>
      </c>
      <c r="K125" s="2">
        <v>50</v>
      </c>
      <c r="L125" s="2">
        <v>5.33</v>
      </c>
      <c r="M125" s="2" t="s">
        <v>19</v>
      </c>
      <c r="N125" s="2" t="s">
        <v>15</v>
      </c>
    </row>
    <row r="126" spans="1:14" ht="15.75" thickBot="1" x14ac:dyDescent="0.3">
      <c r="A126" s="2">
        <v>125</v>
      </c>
      <c r="B126" s="2">
        <v>7.38</v>
      </c>
      <c r="C126" s="2" t="s">
        <v>21</v>
      </c>
      <c r="D126" s="2" t="s">
        <v>16</v>
      </c>
      <c r="F126" s="2">
        <v>4</v>
      </c>
      <c r="G126" s="2">
        <v>5.1100000000000003</v>
      </c>
      <c r="H126" s="2" t="s">
        <v>14</v>
      </c>
      <c r="I126" s="2" t="s">
        <v>15</v>
      </c>
      <c r="K126" s="2">
        <v>51</v>
      </c>
      <c r="L126" s="2">
        <v>5.0599999999999996</v>
      </c>
      <c r="M126" s="2" t="s">
        <v>19</v>
      </c>
      <c r="N126" s="2" t="s">
        <v>15</v>
      </c>
    </row>
    <row r="127" spans="1:14" ht="15.75" thickBot="1" x14ac:dyDescent="0.3">
      <c r="A127" s="2">
        <v>126</v>
      </c>
      <c r="B127" s="2">
        <v>5.49</v>
      </c>
      <c r="C127" s="2" t="s">
        <v>21</v>
      </c>
      <c r="D127" s="2" t="s">
        <v>16</v>
      </c>
      <c r="F127" s="2">
        <v>5</v>
      </c>
      <c r="G127" s="2">
        <v>5.13</v>
      </c>
      <c r="H127" s="2" t="s">
        <v>14</v>
      </c>
      <c r="I127" s="2" t="s">
        <v>15</v>
      </c>
      <c r="K127" s="2">
        <v>52</v>
      </c>
      <c r="L127" s="2">
        <v>5.26</v>
      </c>
      <c r="M127" s="2" t="s">
        <v>19</v>
      </c>
      <c r="N127" s="2" t="s">
        <v>15</v>
      </c>
    </row>
    <row r="128" spans="1:14" ht="15.75" thickBot="1" x14ac:dyDescent="0.3">
      <c r="A128" s="2">
        <v>127</v>
      </c>
      <c r="B128" s="2">
        <v>7.83</v>
      </c>
      <c r="C128" s="2" t="s">
        <v>21</v>
      </c>
      <c r="D128" s="2" t="s">
        <v>16</v>
      </c>
      <c r="F128" s="2">
        <v>6</v>
      </c>
      <c r="G128" s="2">
        <v>5.05</v>
      </c>
      <c r="H128" s="2" t="s">
        <v>14</v>
      </c>
      <c r="I128" s="2" t="s">
        <v>15</v>
      </c>
      <c r="K128" s="2">
        <v>53</v>
      </c>
      <c r="L128" s="2">
        <v>5.51</v>
      </c>
      <c r="M128" s="2" t="s">
        <v>19</v>
      </c>
      <c r="N128" s="2" t="s">
        <v>15</v>
      </c>
    </row>
    <row r="129" spans="1:14" ht="15.75" thickBot="1" x14ac:dyDescent="0.3">
      <c r="A129" s="2">
        <v>128</v>
      </c>
      <c r="B129" s="2">
        <v>6.88</v>
      </c>
      <c r="C129" s="2" t="s">
        <v>21</v>
      </c>
      <c r="D129" s="2" t="s">
        <v>16</v>
      </c>
      <c r="F129" s="2">
        <v>7</v>
      </c>
      <c r="G129" s="2">
        <v>4.7699999999999996</v>
      </c>
      <c r="H129" s="2" t="s">
        <v>14</v>
      </c>
      <c r="I129" s="2" t="s">
        <v>15</v>
      </c>
      <c r="K129" s="2">
        <v>54</v>
      </c>
      <c r="L129" s="2">
        <v>5.18</v>
      </c>
      <c r="M129" s="2" t="s">
        <v>19</v>
      </c>
      <c r="N129" s="2" t="s">
        <v>15</v>
      </c>
    </row>
    <row r="130" spans="1:14" ht="15.75" thickBot="1" x14ac:dyDescent="0.3">
      <c r="A130" s="2">
        <v>129</v>
      </c>
      <c r="B130" s="2">
        <v>5.75</v>
      </c>
      <c r="C130" s="2" t="s">
        <v>21</v>
      </c>
      <c r="D130" s="2" t="s">
        <v>16</v>
      </c>
      <c r="F130" s="2">
        <v>8</v>
      </c>
      <c r="G130" s="2">
        <v>4.8</v>
      </c>
      <c r="H130" s="2" t="s">
        <v>14</v>
      </c>
      <c r="I130" s="2" t="s">
        <v>16</v>
      </c>
      <c r="K130" s="2">
        <v>55</v>
      </c>
      <c r="L130" s="2">
        <v>5.66</v>
      </c>
      <c r="M130" s="2" t="s">
        <v>19</v>
      </c>
      <c r="N130" s="2" t="s">
        <v>15</v>
      </c>
    </row>
    <row r="131" spans="1:14" ht="15.75" thickBot="1" x14ac:dyDescent="0.3">
      <c r="A131" s="2">
        <v>130</v>
      </c>
      <c r="B131" s="2">
        <v>8.23</v>
      </c>
      <c r="C131" s="2" t="s">
        <v>21</v>
      </c>
      <c r="D131" s="2" t="s">
        <v>16</v>
      </c>
      <c r="F131" s="2">
        <v>9</v>
      </c>
      <c r="G131" s="2">
        <v>5.0199999999999996</v>
      </c>
      <c r="H131" s="2" t="s">
        <v>14</v>
      </c>
      <c r="I131" s="2" t="s">
        <v>16</v>
      </c>
      <c r="K131" s="2">
        <v>56</v>
      </c>
      <c r="L131" s="2">
        <v>5.1100000000000003</v>
      </c>
      <c r="M131" s="2" t="s">
        <v>19</v>
      </c>
      <c r="N131" s="2" t="s">
        <v>16</v>
      </c>
    </row>
    <row r="132" spans="1:14" ht="15.75" thickBot="1" x14ac:dyDescent="0.3">
      <c r="A132" s="2">
        <v>131</v>
      </c>
      <c r="B132" s="2">
        <v>6.53</v>
      </c>
      <c r="C132" s="2" t="s">
        <v>21</v>
      </c>
      <c r="D132" s="2" t="s">
        <v>16</v>
      </c>
      <c r="F132" s="2">
        <v>10</v>
      </c>
      <c r="G132" s="2">
        <v>5.12</v>
      </c>
      <c r="H132" s="2" t="s">
        <v>14</v>
      </c>
      <c r="I132" s="2" t="s">
        <v>16</v>
      </c>
      <c r="K132" s="2">
        <v>57</v>
      </c>
      <c r="L132" s="2">
        <v>5.17</v>
      </c>
      <c r="M132" s="2" t="s">
        <v>19</v>
      </c>
      <c r="N132" s="2" t="s">
        <v>16</v>
      </c>
    </row>
    <row r="133" spans="1:14" ht="15.75" thickBot="1" x14ac:dyDescent="0.3">
      <c r="A133" s="2">
        <v>132</v>
      </c>
      <c r="B133" s="2">
        <v>7.42</v>
      </c>
      <c r="C133" s="2" t="s">
        <v>21</v>
      </c>
      <c r="D133" s="2" t="s">
        <v>16</v>
      </c>
      <c r="F133" s="2">
        <v>11</v>
      </c>
      <c r="G133" s="2">
        <v>4.9000000000000004</v>
      </c>
      <c r="H133" s="2" t="s">
        <v>14</v>
      </c>
      <c r="I133" s="2" t="s">
        <v>16</v>
      </c>
      <c r="K133" s="2">
        <v>58</v>
      </c>
      <c r="L133" s="2">
        <v>5.61</v>
      </c>
      <c r="M133" s="2" t="s">
        <v>19</v>
      </c>
      <c r="N133" s="2" t="s">
        <v>16</v>
      </c>
    </row>
    <row r="134" spans="1:14" ht="15.75" thickBot="1" x14ac:dyDescent="0.3">
      <c r="A134" s="2">
        <v>133</v>
      </c>
      <c r="B134" s="2">
        <v>5.17</v>
      </c>
      <c r="C134" s="2" t="s">
        <v>21</v>
      </c>
      <c r="D134" s="2" t="s">
        <v>16</v>
      </c>
      <c r="F134" s="2">
        <v>12</v>
      </c>
      <c r="G134" s="2">
        <v>5.13</v>
      </c>
      <c r="H134" s="2" t="s">
        <v>14</v>
      </c>
      <c r="I134" s="2" t="s">
        <v>16</v>
      </c>
      <c r="K134" s="2">
        <v>59</v>
      </c>
      <c r="L134" s="2">
        <v>5.36</v>
      </c>
      <c r="M134" s="2" t="s">
        <v>19</v>
      </c>
      <c r="N134" s="2" t="s">
        <v>16</v>
      </c>
    </row>
    <row r="135" spans="1:14" ht="15.75" thickBot="1" x14ac:dyDescent="0.3">
      <c r="A135" s="2">
        <v>134</v>
      </c>
      <c r="B135" s="2">
        <v>7.63</v>
      </c>
      <c r="C135" s="2" t="s">
        <v>21</v>
      </c>
      <c r="D135" s="2" t="s">
        <v>16</v>
      </c>
      <c r="F135" s="2">
        <v>13</v>
      </c>
      <c r="G135" s="2">
        <v>4.57</v>
      </c>
      <c r="H135" s="2" t="s">
        <v>14</v>
      </c>
      <c r="I135" s="2" t="s">
        <v>16</v>
      </c>
      <c r="K135" s="2">
        <v>60</v>
      </c>
      <c r="L135" s="2">
        <v>4.92</v>
      </c>
      <c r="M135" s="2" t="s">
        <v>19</v>
      </c>
      <c r="N135" s="2" t="s">
        <v>16</v>
      </c>
    </row>
    <row r="136" spans="1:14" ht="15.75" thickBot="1" x14ac:dyDescent="0.3">
      <c r="A136" s="2">
        <v>135</v>
      </c>
      <c r="B136" s="2">
        <v>8.85</v>
      </c>
      <c r="C136" s="2" t="s">
        <v>21</v>
      </c>
      <c r="D136" s="2" t="s">
        <v>16</v>
      </c>
      <c r="F136" s="2">
        <v>14</v>
      </c>
      <c r="G136" s="2">
        <v>5</v>
      </c>
      <c r="H136" s="2" t="s">
        <v>14</v>
      </c>
      <c r="I136" s="2" t="s">
        <v>16</v>
      </c>
      <c r="K136" s="1">
        <v>61</v>
      </c>
      <c r="L136" s="1">
        <v>9.49</v>
      </c>
      <c r="M136" s="1" t="s">
        <v>19</v>
      </c>
      <c r="N136" s="1" t="s">
        <v>16</v>
      </c>
    </row>
    <row r="137" spans="1:14" ht="15.75" thickBot="1" x14ac:dyDescent="0.3">
      <c r="A137" s="2">
        <v>136</v>
      </c>
      <c r="B137" s="2">
        <v>8.7100000000000009</v>
      </c>
      <c r="C137" s="2" t="s">
        <v>21</v>
      </c>
      <c r="D137" s="2" t="s">
        <v>16</v>
      </c>
      <c r="F137" s="2">
        <v>15</v>
      </c>
      <c r="G137" s="2">
        <v>4.9000000000000004</v>
      </c>
      <c r="H137" s="2" t="s">
        <v>14</v>
      </c>
      <c r="I137" s="2" t="s">
        <v>16</v>
      </c>
      <c r="K137" s="2">
        <v>62</v>
      </c>
      <c r="L137" s="2">
        <v>5.7</v>
      </c>
      <c r="M137" s="2" t="s">
        <v>19</v>
      </c>
      <c r="N137" s="2" t="s">
        <v>16</v>
      </c>
    </row>
    <row r="138" spans="1:14" ht="15.75" thickBot="1" x14ac:dyDescent="0.3">
      <c r="A138" s="2">
        <v>137</v>
      </c>
      <c r="B138" s="2">
        <v>7.53</v>
      </c>
      <c r="C138" s="2" t="s">
        <v>21</v>
      </c>
      <c r="D138" s="2" t="s">
        <v>16</v>
      </c>
      <c r="K138" s="2">
        <v>63</v>
      </c>
      <c r="L138" s="2">
        <v>5.37</v>
      </c>
      <c r="M138" s="2" t="s">
        <v>19</v>
      </c>
      <c r="N138" s="2" t="s">
        <v>16</v>
      </c>
    </row>
    <row r="139" spans="1:14" ht="15.75" thickBot="1" x14ac:dyDescent="0.3">
      <c r="A139" s="2">
        <v>138</v>
      </c>
      <c r="B139" s="2">
        <v>6.99</v>
      </c>
      <c r="C139" s="2" t="s">
        <v>21</v>
      </c>
      <c r="D139" s="2" t="s">
        <v>16</v>
      </c>
      <c r="F139" s="2">
        <v>16</v>
      </c>
      <c r="G139" s="2">
        <v>5.27</v>
      </c>
      <c r="H139" s="2" t="s">
        <v>17</v>
      </c>
      <c r="I139" s="2" t="s">
        <v>15</v>
      </c>
      <c r="K139" s="2">
        <v>64</v>
      </c>
      <c r="L139" s="2">
        <v>5</v>
      </c>
      <c r="M139" s="2" t="s">
        <v>19</v>
      </c>
      <c r="N139" s="2" t="s">
        <v>16</v>
      </c>
    </row>
    <row r="140" spans="1:14" ht="15.75" thickBot="1" x14ac:dyDescent="0.3">
      <c r="A140" s="2">
        <v>139</v>
      </c>
      <c r="B140" s="2">
        <v>5.13</v>
      </c>
      <c r="C140" s="2" t="s">
        <v>21</v>
      </c>
      <c r="D140" s="2" t="s">
        <v>16</v>
      </c>
      <c r="F140" s="2">
        <v>17</v>
      </c>
      <c r="G140" s="2">
        <v>5</v>
      </c>
      <c r="H140" s="2" t="s">
        <v>17</v>
      </c>
      <c r="I140" s="2" t="s">
        <v>15</v>
      </c>
      <c r="K140" s="2">
        <v>65</v>
      </c>
      <c r="L140" s="2">
        <v>5.62</v>
      </c>
      <c r="M140" s="2" t="s">
        <v>19</v>
      </c>
      <c r="N140" s="2" t="s">
        <v>16</v>
      </c>
    </row>
    <row r="141" spans="1:14" ht="15.75" thickBot="1" x14ac:dyDescent="0.3">
      <c r="A141" s="2">
        <v>140</v>
      </c>
      <c r="B141" s="2">
        <v>7.33</v>
      </c>
      <c r="C141" s="2" t="s">
        <v>21</v>
      </c>
      <c r="D141" s="2" t="s">
        <v>16</v>
      </c>
      <c r="F141" s="2">
        <v>18</v>
      </c>
      <c r="G141" s="2">
        <v>4.83</v>
      </c>
      <c r="H141" s="2" t="s">
        <v>17</v>
      </c>
      <c r="I141" s="2" t="s">
        <v>15</v>
      </c>
      <c r="K141" s="2">
        <v>66</v>
      </c>
      <c r="L141" s="2">
        <v>4.8099999999999996</v>
      </c>
      <c r="M141" s="2" t="s">
        <v>19</v>
      </c>
      <c r="N141" s="2" t="s">
        <v>16</v>
      </c>
    </row>
    <row r="142" spans="1:14" ht="15.75" thickBot="1" x14ac:dyDescent="0.3">
      <c r="A142" s="2">
        <v>141</v>
      </c>
      <c r="B142" s="2">
        <v>5.95</v>
      </c>
      <c r="C142" s="2" t="s">
        <v>21</v>
      </c>
      <c r="D142" s="2" t="s">
        <v>16</v>
      </c>
      <c r="F142" s="2">
        <v>19</v>
      </c>
      <c r="G142" s="2">
        <v>5.03</v>
      </c>
      <c r="H142" s="2" t="s">
        <v>17</v>
      </c>
      <c r="I142" s="2" t="s">
        <v>15</v>
      </c>
    </row>
    <row r="143" spans="1:14" ht="15.75" thickBot="1" x14ac:dyDescent="0.3">
      <c r="A143" s="2">
        <v>142</v>
      </c>
      <c r="B143" s="2">
        <v>6.3</v>
      </c>
      <c r="C143" s="2" t="s">
        <v>21</v>
      </c>
      <c r="D143" s="2" t="s">
        <v>16</v>
      </c>
      <c r="F143" s="2">
        <v>20</v>
      </c>
      <c r="G143" s="1">
        <v>4.5999999999999996</v>
      </c>
      <c r="H143" s="1" t="s">
        <v>17</v>
      </c>
      <c r="I143" s="2" t="s">
        <v>15</v>
      </c>
      <c r="K143" s="2">
        <v>102</v>
      </c>
      <c r="L143" s="2">
        <v>5.37</v>
      </c>
      <c r="M143" s="2" t="s">
        <v>21</v>
      </c>
      <c r="N143" s="2" t="s">
        <v>15</v>
      </c>
    </row>
    <row r="144" spans="1:14" ht="15.75" thickBot="1" x14ac:dyDescent="0.3">
      <c r="A144" s="2">
        <v>143</v>
      </c>
      <c r="B144" s="2">
        <v>5.85</v>
      </c>
      <c r="C144" s="2" t="s">
        <v>21</v>
      </c>
      <c r="D144" s="2" t="s">
        <v>16</v>
      </c>
      <c r="F144" s="2">
        <v>21</v>
      </c>
      <c r="G144" s="2">
        <v>5.0199999999999996</v>
      </c>
      <c r="H144" s="2" t="s">
        <v>17</v>
      </c>
      <c r="I144" s="2" t="s">
        <v>15</v>
      </c>
      <c r="K144" s="2">
        <v>103</v>
      </c>
      <c r="L144" s="2">
        <v>5.52</v>
      </c>
      <c r="M144" s="2" t="s">
        <v>21</v>
      </c>
      <c r="N144" s="2" t="s">
        <v>15</v>
      </c>
    </row>
    <row r="145" spans="1:14" ht="15.75" thickBot="1" x14ac:dyDescent="0.3">
      <c r="A145" s="2">
        <v>144</v>
      </c>
      <c r="B145" s="2">
        <v>5.04</v>
      </c>
      <c r="C145" s="2" t="s">
        <v>22</v>
      </c>
      <c r="D145" s="2" t="s">
        <v>15</v>
      </c>
      <c r="F145" s="2">
        <v>22</v>
      </c>
      <c r="G145" s="2">
        <v>5.12</v>
      </c>
      <c r="H145" s="2" t="s">
        <v>17</v>
      </c>
      <c r="I145" s="2" t="s">
        <v>16</v>
      </c>
      <c r="K145" s="2">
        <v>104</v>
      </c>
      <c r="L145" s="2">
        <v>4.6100000000000003</v>
      </c>
      <c r="M145" s="2" t="s">
        <v>21</v>
      </c>
      <c r="N145" s="2" t="s">
        <v>15</v>
      </c>
    </row>
    <row r="146" spans="1:14" ht="15.75" thickBot="1" x14ac:dyDescent="0.3">
      <c r="A146" s="2">
        <v>145</v>
      </c>
      <c r="B146" s="2">
        <v>4.95</v>
      </c>
      <c r="C146" s="2" t="s">
        <v>22</v>
      </c>
      <c r="D146" s="2" t="s">
        <v>15</v>
      </c>
      <c r="F146" s="2">
        <v>23</v>
      </c>
      <c r="G146" s="2">
        <v>5.07</v>
      </c>
      <c r="H146" s="2" t="s">
        <v>17</v>
      </c>
      <c r="I146" s="2" t="s">
        <v>16</v>
      </c>
      <c r="K146" s="2">
        <v>105</v>
      </c>
      <c r="L146" s="2">
        <v>5.66</v>
      </c>
      <c r="M146" s="2" t="s">
        <v>21</v>
      </c>
      <c r="N146" s="2" t="s">
        <v>15</v>
      </c>
    </row>
    <row r="147" spans="1:14" ht="15.75" thickBot="1" x14ac:dyDescent="0.3">
      <c r="A147" s="2">
        <v>146</v>
      </c>
      <c r="B147" s="2">
        <v>5.74</v>
      </c>
      <c r="C147" s="2" t="s">
        <v>22</v>
      </c>
      <c r="D147" s="2" t="s">
        <v>15</v>
      </c>
      <c r="F147" s="2">
        <v>24</v>
      </c>
      <c r="G147" s="2">
        <v>4.97</v>
      </c>
      <c r="H147" s="2" t="s">
        <v>17</v>
      </c>
      <c r="I147" s="2" t="s">
        <v>16</v>
      </c>
      <c r="K147" s="2">
        <v>106</v>
      </c>
      <c r="L147" s="2">
        <v>5.16</v>
      </c>
      <c r="M147" s="2" t="s">
        <v>21</v>
      </c>
      <c r="N147" s="2" t="s">
        <v>15</v>
      </c>
    </row>
    <row r="148" spans="1:14" ht="15.75" thickBot="1" x14ac:dyDescent="0.3">
      <c r="A148" s="2">
        <v>147</v>
      </c>
      <c r="B148" s="2">
        <v>5.37</v>
      </c>
      <c r="C148" s="2" t="s">
        <v>22</v>
      </c>
      <c r="D148" s="2" t="s">
        <v>15</v>
      </c>
      <c r="F148" s="2">
        <v>25</v>
      </c>
      <c r="G148" s="2">
        <v>5.23</v>
      </c>
      <c r="H148" s="2" t="s">
        <v>17</v>
      </c>
      <c r="I148" s="2" t="s">
        <v>16</v>
      </c>
      <c r="K148" s="2">
        <v>107</v>
      </c>
      <c r="L148" s="2">
        <v>5.41</v>
      </c>
      <c r="M148" s="2" t="s">
        <v>21</v>
      </c>
      <c r="N148" s="2" t="s">
        <v>15</v>
      </c>
    </row>
    <row r="149" spans="1:14" ht="15.75" thickBot="1" x14ac:dyDescent="0.3">
      <c r="A149" s="2">
        <v>148</v>
      </c>
      <c r="B149" s="2">
        <v>5.19</v>
      </c>
      <c r="C149" s="2" t="s">
        <v>22</v>
      </c>
      <c r="D149" s="2" t="s">
        <v>15</v>
      </c>
      <c r="F149" s="2">
        <v>26</v>
      </c>
      <c r="G149" s="2">
        <v>4.68</v>
      </c>
      <c r="H149" s="2" t="s">
        <v>17</v>
      </c>
      <c r="I149" s="2" t="s">
        <v>16</v>
      </c>
      <c r="K149" s="2">
        <v>108</v>
      </c>
      <c r="L149" s="2">
        <v>5.07</v>
      </c>
      <c r="M149" s="2" t="s">
        <v>21</v>
      </c>
      <c r="N149" s="2" t="s">
        <v>15</v>
      </c>
    </row>
    <row r="150" spans="1:14" ht="15.75" thickBot="1" x14ac:dyDescent="0.3">
      <c r="A150" s="2">
        <v>149</v>
      </c>
      <c r="B150" s="2">
        <v>5.58</v>
      </c>
      <c r="C150" s="2" t="s">
        <v>22</v>
      </c>
      <c r="D150" s="2" t="s">
        <v>15</v>
      </c>
      <c r="F150" s="2">
        <v>27</v>
      </c>
      <c r="G150" s="2">
        <v>4.99</v>
      </c>
      <c r="H150" s="2" t="s">
        <v>17</v>
      </c>
      <c r="I150" s="2" t="s">
        <v>16</v>
      </c>
      <c r="K150" s="2">
        <v>109</v>
      </c>
      <c r="L150" s="2">
        <v>5.15</v>
      </c>
      <c r="M150" s="2" t="s">
        <v>21</v>
      </c>
      <c r="N150" s="2" t="s">
        <v>15</v>
      </c>
    </row>
    <row r="151" spans="1:14" ht="15.75" thickBot="1" x14ac:dyDescent="0.3">
      <c r="A151" s="2">
        <v>150</v>
      </c>
      <c r="B151" s="2">
        <v>4.7</v>
      </c>
      <c r="C151" s="2" t="s">
        <v>22</v>
      </c>
      <c r="D151" s="2" t="s">
        <v>15</v>
      </c>
      <c r="F151" s="2">
        <v>28</v>
      </c>
      <c r="G151" s="2">
        <v>4.93</v>
      </c>
      <c r="H151" s="2" t="s">
        <v>17</v>
      </c>
      <c r="I151" s="2" t="s">
        <v>16</v>
      </c>
      <c r="K151" s="2">
        <v>110</v>
      </c>
      <c r="L151" s="2">
        <v>5.23</v>
      </c>
      <c r="M151" s="2" t="s">
        <v>21</v>
      </c>
      <c r="N151" s="2" t="s">
        <v>15</v>
      </c>
    </row>
    <row r="152" spans="1:14" ht="15.75" thickBot="1" x14ac:dyDescent="0.3">
      <c r="A152" s="2">
        <v>151</v>
      </c>
      <c r="B152" s="2">
        <v>5.1100000000000003</v>
      </c>
      <c r="C152" s="2" t="s">
        <v>22</v>
      </c>
      <c r="D152" s="2" t="s">
        <v>15</v>
      </c>
      <c r="F152" s="2">
        <v>29</v>
      </c>
      <c r="G152" s="2">
        <v>4.79</v>
      </c>
      <c r="H152" s="2" t="s">
        <v>17</v>
      </c>
      <c r="I152" s="2" t="s">
        <v>16</v>
      </c>
      <c r="K152" s="2">
        <v>111</v>
      </c>
      <c r="L152" s="2">
        <v>4.8600000000000003</v>
      </c>
      <c r="M152" s="2" t="s">
        <v>21</v>
      </c>
      <c r="N152" s="2" t="s">
        <v>15</v>
      </c>
    </row>
    <row r="153" spans="1:14" ht="15.75" thickBot="1" x14ac:dyDescent="0.3">
      <c r="A153" s="2">
        <v>152</v>
      </c>
      <c r="B153" s="2">
        <v>4.82</v>
      </c>
      <c r="C153" s="2" t="s">
        <v>22</v>
      </c>
      <c r="D153" s="2" t="s">
        <v>15</v>
      </c>
      <c r="F153" s="2">
        <v>30</v>
      </c>
      <c r="G153" s="1">
        <v>5.31</v>
      </c>
      <c r="H153" s="1" t="s">
        <v>17</v>
      </c>
      <c r="I153" s="2" t="s">
        <v>16</v>
      </c>
      <c r="K153" s="2">
        <v>112</v>
      </c>
      <c r="L153" s="2">
        <v>5.13</v>
      </c>
      <c r="M153" s="2" t="s">
        <v>21</v>
      </c>
      <c r="N153" s="2" t="s">
        <v>15</v>
      </c>
    </row>
    <row r="154" spans="1:14" ht="15.75" thickBot="1" x14ac:dyDescent="0.3">
      <c r="A154" s="2">
        <v>153</v>
      </c>
      <c r="B154" s="2">
        <v>5.25</v>
      </c>
      <c r="C154" s="2" t="s">
        <v>22</v>
      </c>
      <c r="D154" s="2" t="s">
        <v>15</v>
      </c>
      <c r="K154" s="2">
        <v>113</v>
      </c>
      <c r="L154" s="2">
        <v>4.74</v>
      </c>
      <c r="M154" s="2" t="s">
        <v>21</v>
      </c>
      <c r="N154" s="2" t="s">
        <v>15</v>
      </c>
    </row>
    <row r="155" spans="1:14" ht="15.75" thickBot="1" x14ac:dyDescent="0.3">
      <c r="A155" s="2">
        <v>154</v>
      </c>
      <c r="B155" s="2">
        <v>5.63</v>
      </c>
      <c r="C155" s="2" t="s">
        <v>22</v>
      </c>
      <c r="D155" s="2" t="s">
        <v>15</v>
      </c>
      <c r="K155" s="2">
        <v>114</v>
      </c>
      <c r="L155" s="2">
        <v>5.25</v>
      </c>
      <c r="M155" s="2" t="s">
        <v>21</v>
      </c>
      <c r="N155" s="2" t="s">
        <v>15</v>
      </c>
    </row>
    <row r="156" spans="1:14" ht="15.75" thickBot="1" x14ac:dyDescent="0.3">
      <c r="A156" s="2">
        <v>155</v>
      </c>
      <c r="B156" s="2">
        <v>5.15</v>
      </c>
      <c r="C156" s="2" t="s">
        <v>22</v>
      </c>
      <c r="D156" s="2" t="s">
        <v>15</v>
      </c>
      <c r="K156" s="2">
        <v>115</v>
      </c>
      <c r="L156" s="2">
        <v>5.61</v>
      </c>
      <c r="M156" s="2" t="s">
        <v>21</v>
      </c>
      <c r="N156" s="2" t="s">
        <v>15</v>
      </c>
    </row>
    <row r="157" spans="1:14" ht="15.75" thickBot="1" x14ac:dyDescent="0.3">
      <c r="A157" s="2">
        <v>156</v>
      </c>
      <c r="B157" s="2">
        <v>5.04</v>
      </c>
      <c r="C157" s="2" t="s">
        <v>22</v>
      </c>
      <c r="D157" s="2" t="s">
        <v>15</v>
      </c>
      <c r="K157" s="2">
        <v>116</v>
      </c>
      <c r="L157" s="2">
        <v>8.14</v>
      </c>
      <c r="M157" s="2" t="s">
        <v>21</v>
      </c>
      <c r="N157" s="2" t="s">
        <v>16</v>
      </c>
    </row>
    <row r="158" spans="1:14" ht="15.75" thickBot="1" x14ac:dyDescent="0.3">
      <c r="A158" s="2">
        <v>157</v>
      </c>
      <c r="B158" s="2">
        <v>4.92</v>
      </c>
      <c r="C158" s="2" t="s">
        <v>22</v>
      </c>
      <c r="D158" s="2" t="s">
        <v>16</v>
      </c>
      <c r="K158" s="2">
        <v>117</v>
      </c>
      <c r="L158" s="2">
        <v>5.74</v>
      </c>
      <c r="M158" s="2" t="s">
        <v>21</v>
      </c>
      <c r="N158" s="2" t="s">
        <v>16</v>
      </c>
    </row>
    <row r="159" spans="1:14" ht="15.75" thickBot="1" x14ac:dyDescent="0.3">
      <c r="A159" s="2">
        <v>158</v>
      </c>
      <c r="B159" s="2">
        <v>4.87</v>
      </c>
      <c r="C159" s="2" t="s">
        <v>22</v>
      </c>
      <c r="D159" s="2" t="s">
        <v>16</v>
      </c>
      <c r="K159" s="2">
        <v>118</v>
      </c>
      <c r="L159" s="2">
        <v>7.87</v>
      </c>
      <c r="M159" s="2" t="s">
        <v>21</v>
      </c>
      <c r="N159" s="2" t="s">
        <v>16</v>
      </c>
    </row>
    <row r="160" spans="1:14" ht="15.75" thickBot="1" x14ac:dyDescent="0.3">
      <c r="A160" s="2">
        <v>159</v>
      </c>
      <c r="B160" s="2">
        <v>4.91</v>
      </c>
      <c r="C160" s="2" t="s">
        <v>22</v>
      </c>
      <c r="D160" s="2" t="s">
        <v>16</v>
      </c>
      <c r="K160" s="2">
        <v>119</v>
      </c>
      <c r="L160" s="2">
        <v>4.59</v>
      </c>
      <c r="M160" s="2" t="s">
        <v>21</v>
      </c>
      <c r="N160" s="2" t="s">
        <v>16</v>
      </c>
    </row>
    <row r="161" spans="1:14" ht="15.75" thickBot="1" x14ac:dyDescent="0.3">
      <c r="A161" s="2">
        <v>160</v>
      </c>
      <c r="B161" s="2">
        <v>4.95</v>
      </c>
      <c r="C161" s="2" t="s">
        <v>22</v>
      </c>
      <c r="D161" s="2" t="s">
        <v>16</v>
      </c>
      <c r="K161" s="2">
        <v>120</v>
      </c>
      <c r="L161" s="2">
        <v>7.39</v>
      </c>
      <c r="M161" s="2" t="s">
        <v>21</v>
      </c>
      <c r="N161" s="2" t="s">
        <v>16</v>
      </c>
    </row>
    <row r="162" spans="1:14" ht="15.75" thickBot="1" x14ac:dyDescent="0.3">
      <c r="K162" s="2">
        <v>121</v>
      </c>
      <c r="L162" s="2">
        <v>6.09</v>
      </c>
      <c r="M162" s="2" t="s">
        <v>21</v>
      </c>
      <c r="N162" s="2" t="s">
        <v>16</v>
      </c>
    </row>
    <row r="163" spans="1:14" ht="15.75" thickBot="1" x14ac:dyDescent="0.3">
      <c r="K163" s="2">
        <v>122</v>
      </c>
      <c r="L163" s="2">
        <v>8.1</v>
      </c>
      <c r="M163" s="2" t="s">
        <v>21</v>
      </c>
      <c r="N163" s="2" t="s">
        <v>16</v>
      </c>
    </row>
    <row r="164" spans="1:14" ht="15.75" thickBot="1" x14ac:dyDescent="0.3">
      <c r="K164" s="2">
        <v>123</v>
      </c>
      <c r="L164" s="2">
        <v>7.09</v>
      </c>
      <c r="M164" s="2" t="s">
        <v>21</v>
      </c>
      <c r="N164" s="2" t="s">
        <v>16</v>
      </c>
    </row>
    <row r="165" spans="1:14" ht="15.75" thickBot="1" x14ac:dyDescent="0.3">
      <c r="K165" s="2">
        <v>124</v>
      </c>
      <c r="L165" s="2">
        <v>7.58</v>
      </c>
      <c r="M165" s="2" t="s">
        <v>21</v>
      </c>
      <c r="N165" s="2" t="s">
        <v>16</v>
      </c>
    </row>
    <row r="166" spans="1:14" ht="15.75" thickBot="1" x14ac:dyDescent="0.3">
      <c r="K166" s="2">
        <v>125</v>
      </c>
      <c r="L166" s="2">
        <v>7.38</v>
      </c>
      <c r="M166" s="2" t="s">
        <v>21</v>
      </c>
      <c r="N166" s="2" t="s">
        <v>16</v>
      </c>
    </row>
    <row r="167" spans="1:14" ht="15.75" thickBot="1" x14ac:dyDescent="0.3">
      <c r="K167" s="2">
        <v>126</v>
      </c>
      <c r="L167" s="2">
        <v>5.49</v>
      </c>
      <c r="M167" s="2" t="s">
        <v>21</v>
      </c>
      <c r="N167" s="2" t="s">
        <v>16</v>
      </c>
    </row>
    <row r="168" spans="1:14" ht="15.75" thickBot="1" x14ac:dyDescent="0.3">
      <c r="K168" s="2">
        <v>127</v>
      </c>
      <c r="L168" s="2">
        <v>7.83</v>
      </c>
      <c r="M168" s="2" t="s">
        <v>21</v>
      </c>
      <c r="N168" s="2" t="s">
        <v>16</v>
      </c>
    </row>
    <row r="169" spans="1:14" ht="15.75" thickBot="1" x14ac:dyDescent="0.3">
      <c r="K169" s="2">
        <v>128</v>
      </c>
      <c r="L169" s="2">
        <v>6.88</v>
      </c>
      <c r="M169" s="2" t="s">
        <v>21</v>
      </c>
      <c r="N169" s="2" t="s">
        <v>16</v>
      </c>
    </row>
    <row r="170" spans="1:14" ht="15.75" thickBot="1" x14ac:dyDescent="0.3">
      <c r="K170" s="2">
        <v>129</v>
      </c>
      <c r="L170" s="2">
        <v>5.75</v>
      </c>
      <c r="M170" s="2" t="s">
        <v>21</v>
      </c>
      <c r="N170" s="2" t="s">
        <v>16</v>
      </c>
    </row>
    <row r="171" spans="1:14" ht="15.75" thickBot="1" x14ac:dyDescent="0.3">
      <c r="K171" s="2">
        <v>130</v>
      </c>
      <c r="L171" s="2">
        <v>8.23</v>
      </c>
      <c r="M171" s="2" t="s">
        <v>21</v>
      </c>
      <c r="N171" s="2" t="s">
        <v>16</v>
      </c>
    </row>
    <row r="172" spans="1:14" ht="15.75" thickBot="1" x14ac:dyDescent="0.3">
      <c r="K172" s="2">
        <v>131</v>
      </c>
      <c r="L172" s="2">
        <v>6.53</v>
      </c>
      <c r="M172" s="2" t="s">
        <v>21</v>
      </c>
      <c r="N172" s="2" t="s">
        <v>16</v>
      </c>
    </row>
    <row r="173" spans="1:14" ht="15.75" thickBot="1" x14ac:dyDescent="0.3">
      <c r="K173" s="2">
        <v>132</v>
      </c>
      <c r="L173" s="2">
        <v>7.42</v>
      </c>
      <c r="M173" s="2" t="s">
        <v>21</v>
      </c>
      <c r="N173" s="2" t="s">
        <v>16</v>
      </c>
    </row>
    <row r="174" spans="1:14" ht="15.75" thickBot="1" x14ac:dyDescent="0.3">
      <c r="K174" s="2">
        <v>133</v>
      </c>
      <c r="L174" s="2">
        <v>5.17</v>
      </c>
      <c r="M174" s="2" t="s">
        <v>21</v>
      </c>
      <c r="N174" s="2" t="s">
        <v>16</v>
      </c>
    </row>
    <row r="175" spans="1:14" ht="15.75" thickBot="1" x14ac:dyDescent="0.3">
      <c r="K175" s="2">
        <v>134</v>
      </c>
      <c r="L175" s="2">
        <v>7.63</v>
      </c>
      <c r="M175" s="2" t="s">
        <v>21</v>
      </c>
      <c r="N175" s="2" t="s">
        <v>16</v>
      </c>
    </row>
    <row r="176" spans="1:14" ht="15.75" thickBot="1" x14ac:dyDescent="0.3">
      <c r="K176" s="2">
        <v>135</v>
      </c>
      <c r="L176" s="2">
        <v>8.85</v>
      </c>
      <c r="M176" s="2" t="s">
        <v>21</v>
      </c>
      <c r="N176" s="2" t="s">
        <v>16</v>
      </c>
    </row>
    <row r="177" spans="11:14" ht="15.75" thickBot="1" x14ac:dyDescent="0.3">
      <c r="K177" s="2">
        <v>136</v>
      </c>
      <c r="L177" s="2">
        <v>8.7100000000000009</v>
      </c>
      <c r="M177" s="2" t="s">
        <v>21</v>
      </c>
      <c r="N177" s="2" t="s">
        <v>16</v>
      </c>
    </row>
    <row r="178" spans="11:14" ht="15.75" thickBot="1" x14ac:dyDescent="0.3">
      <c r="K178" s="2">
        <v>137</v>
      </c>
      <c r="L178" s="2">
        <v>7.53</v>
      </c>
      <c r="M178" s="2" t="s">
        <v>21</v>
      </c>
      <c r="N178" s="2" t="s">
        <v>16</v>
      </c>
    </row>
    <row r="179" spans="11:14" ht="15.75" thickBot="1" x14ac:dyDescent="0.3">
      <c r="K179" s="2">
        <v>138</v>
      </c>
      <c r="L179" s="2">
        <v>6.99</v>
      </c>
      <c r="M179" s="2" t="s">
        <v>21</v>
      </c>
      <c r="N179" s="2" t="s">
        <v>16</v>
      </c>
    </row>
    <row r="180" spans="11:14" ht="15.75" thickBot="1" x14ac:dyDescent="0.3">
      <c r="K180" s="2">
        <v>139</v>
      </c>
      <c r="L180" s="2">
        <v>5.13</v>
      </c>
      <c r="M180" s="2" t="s">
        <v>21</v>
      </c>
      <c r="N180" s="2" t="s">
        <v>16</v>
      </c>
    </row>
    <row r="181" spans="11:14" ht="15.75" thickBot="1" x14ac:dyDescent="0.3">
      <c r="K181" s="2">
        <v>140</v>
      </c>
      <c r="L181" s="2">
        <v>7.33</v>
      </c>
      <c r="M181" s="2" t="s">
        <v>21</v>
      </c>
      <c r="N181" s="2" t="s">
        <v>16</v>
      </c>
    </row>
    <row r="182" spans="11:14" ht="15.75" thickBot="1" x14ac:dyDescent="0.3">
      <c r="K182" s="2">
        <v>141</v>
      </c>
      <c r="L182" s="2">
        <v>5.95</v>
      </c>
      <c r="M182" s="2" t="s">
        <v>21</v>
      </c>
      <c r="N182" s="2" t="s">
        <v>16</v>
      </c>
    </row>
    <row r="183" spans="11:14" ht="15.75" thickBot="1" x14ac:dyDescent="0.3">
      <c r="K183" s="2">
        <v>142</v>
      </c>
      <c r="L183" s="2">
        <v>6.3</v>
      </c>
      <c r="M183" s="2" t="s">
        <v>21</v>
      </c>
      <c r="N183" s="2" t="s">
        <v>16</v>
      </c>
    </row>
    <row r="184" spans="11:14" ht="15.75" thickBot="1" x14ac:dyDescent="0.3">
      <c r="K184" s="2">
        <v>143</v>
      </c>
      <c r="L184" s="2">
        <v>5.85</v>
      </c>
      <c r="M184" s="2" t="s">
        <v>21</v>
      </c>
      <c r="N184" s="2" t="s">
        <v>16</v>
      </c>
    </row>
  </sheetData>
  <autoFilter ref="A1:D161" xr:uid="{576DC9DB-CD6C-40ED-92FB-580E4443502D}"/>
  <mergeCells count="2">
    <mergeCell ref="L79:Q79"/>
    <mergeCell ref="Q81:W82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CC818-099D-4996-8B7F-2D00A7B3D739}">
  <dimension ref="B1:AB108"/>
  <sheetViews>
    <sheetView topLeftCell="A78" zoomScaleNormal="100" workbookViewId="0">
      <selection activeCell="H98" sqref="H98"/>
    </sheetView>
  </sheetViews>
  <sheetFormatPr defaultRowHeight="15" x14ac:dyDescent="0.25"/>
  <cols>
    <col min="2" max="2" width="17" customWidth="1"/>
    <col min="3" max="3" width="16.42578125" customWidth="1"/>
    <col min="4" max="4" width="12.7109375" customWidth="1"/>
    <col min="5" max="5" width="18.140625" customWidth="1"/>
    <col min="7" max="7" width="18.42578125" bestFit="1" customWidth="1"/>
    <col min="8" max="8" width="20.140625" bestFit="1" customWidth="1"/>
    <col min="9" max="9" width="21.140625" bestFit="1" customWidth="1"/>
    <col min="10" max="10" width="1.5703125" customWidth="1"/>
    <col min="11" max="11" width="18.42578125" bestFit="1" customWidth="1"/>
    <col min="12" max="12" width="12.140625" bestFit="1" customWidth="1"/>
    <col min="13" max="13" width="2" bestFit="1" customWidth="1"/>
    <col min="16" max="16" width="2" bestFit="1" customWidth="1"/>
    <col min="20" max="20" width="2" bestFit="1" customWidth="1"/>
    <col min="24" max="24" width="2" bestFit="1" customWidth="1"/>
    <col min="28" max="28" width="2" bestFit="1" customWidth="1"/>
  </cols>
  <sheetData>
    <row r="1" spans="2:28" x14ac:dyDescent="0.25">
      <c r="K1" t="s">
        <v>33</v>
      </c>
      <c r="L1" t="s">
        <v>38</v>
      </c>
    </row>
    <row r="2" spans="2:28" x14ac:dyDescent="0.25">
      <c r="G2" t="str">
        <f>C9</f>
        <v>MISTO QUENTE</v>
      </c>
      <c r="H2">
        <f>COUNTIF(C9:C108,G2)</f>
        <v>30</v>
      </c>
      <c r="I2" t="s">
        <v>39</v>
      </c>
      <c r="K2">
        <f>COUNTIF(O8:O37,O8)</f>
        <v>22</v>
      </c>
      <c r="L2" s="5">
        <f>COUNTIF(O8:O37,O13)</f>
        <v>8</v>
      </c>
    </row>
    <row r="3" spans="2:28" x14ac:dyDescent="0.25">
      <c r="G3" t="str">
        <f>C11</f>
        <v>NATURAL</v>
      </c>
      <c r="H3">
        <f>COUNTIF($C$9:$C$108,G3)</f>
        <v>9</v>
      </c>
      <c r="I3" t="s">
        <v>40</v>
      </c>
      <c r="K3">
        <f>COUNTIF(W8:W16,W8)</f>
        <v>7</v>
      </c>
      <c r="L3" s="5">
        <f>COUNTIF(W8:W16,S11)</f>
        <v>2</v>
      </c>
    </row>
    <row r="4" spans="2:28" x14ac:dyDescent="0.25">
      <c r="G4" t="str">
        <f>C12</f>
        <v>MORTADELA</v>
      </c>
      <c r="H4">
        <f>COUNTIF($C$9:$C$108,G4)</f>
        <v>16</v>
      </c>
      <c r="K4">
        <f>COUNTIF(S8:S23,S8)</f>
        <v>11</v>
      </c>
      <c r="L4" s="5">
        <f>COUNTIF(S8:S23,S11)</f>
        <v>5</v>
      </c>
    </row>
    <row r="5" spans="2:28" x14ac:dyDescent="0.25">
      <c r="G5" t="str">
        <f>C18</f>
        <v>HAMBÚRGUER</v>
      </c>
      <c r="H5">
        <f>COUNTIF($C$9:$C$108,G5)</f>
        <v>20</v>
      </c>
      <c r="K5">
        <f>COUNTIF(L8:L27,L8)</f>
        <v>3</v>
      </c>
      <c r="L5" s="5">
        <f>COUNTIF(L8:L27,L9)</f>
        <v>17</v>
      </c>
    </row>
    <row r="6" spans="2:28" x14ac:dyDescent="0.25">
      <c r="G6" t="str">
        <f>C19</f>
        <v>X-BURGUER</v>
      </c>
      <c r="H6">
        <f>COUNTIF($C$9:$C$108,G6)</f>
        <v>25</v>
      </c>
      <c r="K6">
        <f>COUNTIF(AA8:AA32,AA14)</f>
        <v>3</v>
      </c>
      <c r="L6" s="5">
        <f>COUNTIF(AA8:AA32,AA12)</f>
        <v>22</v>
      </c>
    </row>
    <row r="7" spans="2:28" ht="15.75" thickBot="1" x14ac:dyDescent="0.3"/>
    <row r="8" spans="2:28" ht="39" thickBot="1" x14ac:dyDescent="0.3">
      <c r="B8" s="1" t="s">
        <v>28</v>
      </c>
      <c r="C8" s="1" t="s">
        <v>29</v>
      </c>
      <c r="D8" s="1" t="s">
        <v>30</v>
      </c>
      <c r="E8" s="9" t="s">
        <v>31</v>
      </c>
      <c r="K8" s="2" t="s">
        <v>36</v>
      </c>
      <c r="L8" s="2" t="s">
        <v>33</v>
      </c>
      <c r="M8" s="10">
        <v>1</v>
      </c>
      <c r="N8" s="2" t="s">
        <v>32</v>
      </c>
      <c r="O8" s="2" t="s">
        <v>33</v>
      </c>
      <c r="P8" s="10">
        <v>1</v>
      </c>
      <c r="Q8" s="2">
        <v>4</v>
      </c>
      <c r="R8" s="2" t="s">
        <v>35</v>
      </c>
      <c r="S8" s="2" t="s">
        <v>33</v>
      </c>
      <c r="T8" s="10">
        <v>1</v>
      </c>
      <c r="U8" s="2">
        <v>3</v>
      </c>
      <c r="V8" s="2" t="s">
        <v>34</v>
      </c>
      <c r="W8" s="2" t="s">
        <v>33</v>
      </c>
      <c r="X8" s="10">
        <v>1</v>
      </c>
      <c r="Y8" s="2">
        <v>11</v>
      </c>
      <c r="Z8" s="2" t="s">
        <v>37</v>
      </c>
      <c r="AA8" s="2" t="s">
        <v>38</v>
      </c>
      <c r="AB8" s="10">
        <v>1</v>
      </c>
    </row>
    <row r="9" spans="2:28" ht="39" thickBot="1" x14ac:dyDescent="0.3">
      <c r="B9" s="2">
        <v>1</v>
      </c>
      <c r="C9" s="2" t="s">
        <v>32</v>
      </c>
      <c r="D9" s="2" t="s">
        <v>33</v>
      </c>
      <c r="E9" s="10">
        <v>1</v>
      </c>
      <c r="K9" s="2" t="s">
        <v>36</v>
      </c>
      <c r="L9" s="2" t="s">
        <v>38</v>
      </c>
      <c r="M9" s="10">
        <v>1</v>
      </c>
      <c r="N9" s="2" t="s">
        <v>32</v>
      </c>
      <c r="O9" s="2" t="s">
        <v>33</v>
      </c>
      <c r="P9" s="10">
        <v>1</v>
      </c>
      <c r="Q9" s="2">
        <v>6</v>
      </c>
      <c r="R9" s="2" t="s">
        <v>35</v>
      </c>
      <c r="S9" s="2" t="s">
        <v>33</v>
      </c>
      <c r="T9" s="10">
        <v>1</v>
      </c>
      <c r="U9" s="2">
        <v>7</v>
      </c>
      <c r="V9" s="2" t="s">
        <v>34</v>
      </c>
      <c r="W9" s="2" t="s">
        <v>33</v>
      </c>
      <c r="X9" s="10">
        <v>1</v>
      </c>
      <c r="Y9" s="2">
        <v>16</v>
      </c>
      <c r="Z9" s="2" t="s">
        <v>37</v>
      </c>
      <c r="AA9" s="2" t="s">
        <v>38</v>
      </c>
      <c r="AB9" s="10">
        <v>1</v>
      </c>
    </row>
    <row r="10" spans="2:28" ht="39" thickBot="1" x14ac:dyDescent="0.3">
      <c r="B10" s="2">
        <v>2</v>
      </c>
      <c r="C10" s="2" t="s">
        <v>32</v>
      </c>
      <c r="D10" s="2" t="s">
        <v>33</v>
      </c>
      <c r="E10" s="10">
        <v>1</v>
      </c>
      <c r="K10" s="2" t="s">
        <v>36</v>
      </c>
      <c r="L10" s="2" t="s">
        <v>38</v>
      </c>
      <c r="M10" s="10">
        <v>1</v>
      </c>
      <c r="N10" s="2" t="s">
        <v>32</v>
      </c>
      <c r="O10" s="2" t="s">
        <v>33</v>
      </c>
      <c r="P10" s="10">
        <v>1</v>
      </c>
      <c r="Q10" s="2">
        <v>15</v>
      </c>
      <c r="R10" s="2" t="s">
        <v>35</v>
      </c>
      <c r="S10" s="2" t="s">
        <v>38</v>
      </c>
      <c r="T10" s="10">
        <v>1</v>
      </c>
      <c r="U10" s="2">
        <v>12</v>
      </c>
      <c r="V10" s="2" t="s">
        <v>34</v>
      </c>
      <c r="W10" s="2" t="s">
        <v>38</v>
      </c>
      <c r="X10" s="10">
        <v>1</v>
      </c>
      <c r="Y10" s="2">
        <v>18</v>
      </c>
      <c r="Z10" s="2" t="s">
        <v>37</v>
      </c>
      <c r="AA10" s="2" t="s">
        <v>38</v>
      </c>
      <c r="AB10" s="10">
        <v>1</v>
      </c>
    </row>
    <row r="11" spans="2:28" ht="39" thickBot="1" x14ac:dyDescent="0.3">
      <c r="B11" s="2">
        <v>3</v>
      </c>
      <c r="C11" s="2" t="s">
        <v>34</v>
      </c>
      <c r="D11" s="2" t="s">
        <v>33</v>
      </c>
      <c r="E11" s="10">
        <v>1</v>
      </c>
      <c r="K11" s="2" t="s">
        <v>36</v>
      </c>
      <c r="L11" s="2" t="s">
        <v>38</v>
      </c>
      <c r="M11" s="10">
        <v>1</v>
      </c>
      <c r="N11" s="2" t="s">
        <v>32</v>
      </c>
      <c r="O11" s="2" t="s">
        <v>33</v>
      </c>
      <c r="P11" s="10">
        <v>1</v>
      </c>
      <c r="Q11" s="2">
        <v>22</v>
      </c>
      <c r="R11" s="2" t="s">
        <v>35</v>
      </c>
      <c r="S11" s="2" t="s">
        <v>38</v>
      </c>
      <c r="T11" s="10">
        <v>1</v>
      </c>
      <c r="U11" s="2">
        <v>29</v>
      </c>
      <c r="V11" s="2" t="s">
        <v>34</v>
      </c>
      <c r="W11" s="2" t="s">
        <v>33</v>
      </c>
      <c r="X11" s="10">
        <v>2</v>
      </c>
      <c r="Y11" s="2">
        <v>19</v>
      </c>
      <c r="Z11" s="2" t="s">
        <v>37</v>
      </c>
      <c r="AA11" s="2" t="s">
        <v>38</v>
      </c>
      <c r="AB11" s="10">
        <v>1</v>
      </c>
    </row>
    <row r="12" spans="2:28" ht="39" thickBot="1" x14ac:dyDescent="0.3">
      <c r="B12" s="2">
        <v>4</v>
      </c>
      <c r="C12" s="2" t="s">
        <v>35</v>
      </c>
      <c r="D12" s="2" t="s">
        <v>33</v>
      </c>
      <c r="E12" s="10">
        <v>1</v>
      </c>
      <c r="K12" s="2" t="s">
        <v>36</v>
      </c>
      <c r="L12" s="2" t="s">
        <v>38</v>
      </c>
      <c r="M12" s="10">
        <v>1</v>
      </c>
      <c r="N12" s="2" t="s">
        <v>32</v>
      </c>
      <c r="O12" s="2" t="s">
        <v>33</v>
      </c>
      <c r="P12" s="10">
        <v>1</v>
      </c>
      <c r="Q12" s="2">
        <v>32</v>
      </c>
      <c r="R12" s="2" t="s">
        <v>35</v>
      </c>
      <c r="S12" s="2" t="s">
        <v>33</v>
      </c>
      <c r="T12" s="10">
        <v>2</v>
      </c>
      <c r="U12" s="2">
        <v>34</v>
      </c>
      <c r="V12" s="2" t="s">
        <v>34</v>
      </c>
      <c r="W12" s="2" t="s">
        <v>33</v>
      </c>
      <c r="X12" s="10">
        <v>2</v>
      </c>
      <c r="Y12" s="2">
        <v>23</v>
      </c>
      <c r="Z12" s="2" t="s">
        <v>37</v>
      </c>
      <c r="AA12" s="2" t="s">
        <v>38</v>
      </c>
      <c r="AB12" s="10">
        <v>1</v>
      </c>
    </row>
    <row r="13" spans="2:28" ht="39" thickBot="1" x14ac:dyDescent="0.3">
      <c r="B13" s="2">
        <v>5</v>
      </c>
      <c r="C13" s="2" t="s">
        <v>32</v>
      </c>
      <c r="D13" s="2" t="s">
        <v>33</v>
      </c>
      <c r="E13" s="10">
        <v>1</v>
      </c>
      <c r="K13" s="2" t="s">
        <v>36</v>
      </c>
      <c r="L13" s="2" t="s">
        <v>38</v>
      </c>
      <c r="M13" s="10">
        <v>2</v>
      </c>
      <c r="N13" s="2" t="s">
        <v>32</v>
      </c>
      <c r="O13" s="2" t="s">
        <v>38</v>
      </c>
      <c r="P13" s="10">
        <v>1</v>
      </c>
      <c r="Q13" s="2">
        <v>37</v>
      </c>
      <c r="R13" s="2" t="s">
        <v>35</v>
      </c>
      <c r="S13" s="2" t="s">
        <v>33</v>
      </c>
      <c r="T13" s="10">
        <v>2</v>
      </c>
      <c r="U13" s="2">
        <v>56</v>
      </c>
      <c r="V13" s="2" t="s">
        <v>34</v>
      </c>
      <c r="W13" s="2" t="s">
        <v>33</v>
      </c>
      <c r="X13" s="10">
        <v>3</v>
      </c>
      <c r="Y13" s="2">
        <v>25</v>
      </c>
      <c r="Z13" s="2" t="s">
        <v>37</v>
      </c>
      <c r="AA13" s="2" t="s">
        <v>38</v>
      </c>
      <c r="AB13" s="10">
        <v>1</v>
      </c>
    </row>
    <row r="14" spans="2:28" ht="39" thickBot="1" x14ac:dyDescent="0.3">
      <c r="B14" s="2">
        <v>6</v>
      </c>
      <c r="C14" s="2" t="s">
        <v>35</v>
      </c>
      <c r="D14" s="2" t="s">
        <v>33</v>
      </c>
      <c r="E14" s="10">
        <v>1</v>
      </c>
      <c r="K14" s="2" t="s">
        <v>36</v>
      </c>
      <c r="L14" s="2" t="s">
        <v>38</v>
      </c>
      <c r="M14" s="10">
        <v>2</v>
      </c>
      <c r="N14" s="2" t="s">
        <v>32</v>
      </c>
      <c r="O14" s="2" t="s">
        <v>38</v>
      </c>
      <c r="P14" s="10">
        <v>1</v>
      </c>
      <c r="Q14" s="2">
        <v>49</v>
      </c>
      <c r="R14" s="2" t="s">
        <v>35</v>
      </c>
      <c r="S14" s="2" t="s">
        <v>33</v>
      </c>
      <c r="T14" s="10">
        <v>3</v>
      </c>
      <c r="U14" s="2">
        <v>75</v>
      </c>
      <c r="V14" s="2" t="s">
        <v>34</v>
      </c>
      <c r="W14" s="2" t="s">
        <v>38</v>
      </c>
      <c r="X14" s="10">
        <v>3</v>
      </c>
      <c r="Y14" s="2">
        <v>27</v>
      </c>
      <c r="Z14" s="2" t="s">
        <v>37</v>
      </c>
      <c r="AA14" s="2" t="s">
        <v>33</v>
      </c>
      <c r="AB14" s="10">
        <v>2</v>
      </c>
    </row>
    <row r="15" spans="2:28" ht="39" thickBot="1" x14ac:dyDescent="0.3">
      <c r="B15" s="2">
        <v>7</v>
      </c>
      <c r="C15" s="2" t="s">
        <v>34</v>
      </c>
      <c r="D15" s="2" t="s">
        <v>33</v>
      </c>
      <c r="E15" s="10">
        <v>1</v>
      </c>
      <c r="K15" s="2" t="s">
        <v>36</v>
      </c>
      <c r="L15" s="2" t="s">
        <v>38</v>
      </c>
      <c r="M15" s="10">
        <v>2</v>
      </c>
      <c r="N15" s="2" t="s">
        <v>32</v>
      </c>
      <c r="O15" s="2" t="s">
        <v>33</v>
      </c>
      <c r="P15" s="10">
        <v>2</v>
      </c>
      <c r="Q15" s="2">
        <v>50</v>
      </c>
      <c r="R15" s="2" t="s">
        <v>35</v>
      </c>
      <c r="S15" s="2" t="s">
        <v>33</v>
      </c>
      <c r="T15" s="10">
        <v>3</v>
      </c>
      <c r="U15" s="2">
        <v>84</v>
      </c>
      <c r="V15" s="2" t="s">
        <v>34</v>
      </c>
      <c r="W15" s="2" t="s">
        <v>33</v>
      </c>
      <c r="X15" s="10">
        <v>4</v>
      </c>
      <c r="Y15" s="2">
        <v>35</v>
      </c>
      <c r="Z15" s="2" t="s">
        <v>37</v>
      </c>
      <c r="AA15" s="2" t="s">
        <v>33</v>
      </c>
      <c r="AB15" s="10">
        <v>2</v>
      </c>
    </row>
    <row r="16" spans="2:28" ht="39" thickBot="1" x14ac:dyDescent="0.3">
      <c r="B16" s="2">
        <v>8</v>
      </c>
      <c r="C16" s="2" t="s">
        <v>32</v>
      </c>
      <c r="D16" s="2" t="s">
        <v>33</v>
      </c>
      <c r="E16" s="10">
        <v>1</v>
      </c>
      <c r="G16" s="1" t="s">
        <v>29</v>
      </c>
      <c r="H16" s="1" t="s">
        <v>30</v>
      </c>
      <c r="I16" s="9" t="s">
        <v>31</v>
      </c>
      <c r="K16" s="2" t="s">
        <v>36</v>
      </c>
      <c r="L16" s="2" t="s">
        <v>38</v>
      </c>
      <c r="M16" s="10">
        <v>2</v>
      </c>
      <c r="N16" s="2" t="s">
        <v>32</v>
      </c>
      <c r="O16" s="2" t="s">
        <v>33</v>
      </c>
      <c r="P16" s="10">
        <v>2</v>
      </c>
      <c r="Q16" s="2">
        <v>55</v>
      </c>
      <c r="R16" s="2" t="s">
        <v>35</v>
      </c>
      <c r="S16" s="2" t="s">
        <v>33</v>
      </c>
      <c r="T16" s="10">
        <v>3</v>
      </c>
      <c r="U16" s="2">
        <v>85</v>
      </c>
      <c r="V16" s="2" t="s">
        <v>34</v>
      </c>
      <c r="W16" s="2" t="s">
        <v>33</v>
      </c>
      <c r="X16" s="10">
        <v>4</v>
      </c>
      <c r="Y16" s="2">
        <v>38</v>
      </c>
      <c r="Z16" s="2" t="s">
        <v>37</v>
      </c>
      <c r="AA16" s="2" t="s">
        <v>38</v>
      </c>
      <c r="AB16" s="10">
        <v>2</v>
      </c>
    </row>
    <row r="17" spans="2:28" ht="39" thickBot="1" x14ac:dyDescent="0.3">
      <c r="B17" s="2">
        <v>9</v>
      </c>
      <c r="C17" s="2" t="s">
        <v>32</v>
      </c>
      <c r="D17" s="2" t="s">
        <v>33</v>
      </c>
      <c r="E17" s="10">
        <v>1</v>
      </c>
      <c r="G17" s="2" t="s">
        <v>32</v>
      </c>
      <c r="H17" s="2" t="s">
        <v>33</v>
      </c>
      <c r="I17" s="10">
        <v>1</v>
      </c>
      <c r="K17" s="2" t="s">
        <v>36</v>
      </c>
      <c r="L17" s="2" t="s">
        <v>38</v>
      </c>
      <c r="M17" s="10">
        <v>2</v>
      </c>
      <c r="N17" s="2" t="s">
        <v>32</v>
      </c>
      <c r="O17" s="2" t="s">
        <v>33</v>
      </c>
      <c r="P17" s="10">
        <v>2</v>
      </c>
      <c r="Q17" s="2">
        <v>70</v>
      </c>
      <c r="R17" s="2" t="s">
        <v>35</v>
      </c>
      <c r="S17" s="2" t="s">
        <v>38</v>
      </c>
      <c r="T17" s="10">
        <v>3</v>
      </c>
      <c r="Y17" s="2">
        <v>39</v>
      </c>
      <c r="Z17" s="2" t="s">
        <v>37</v>
      </c>
      <c r="AA17" s="2" t="s">
        <v>38</v>
      </c>
      <c r="AB17" s="10">
        <v>2</v>
      </c>
    </row>
    <row r="18" spans="2:28" ht="39" thickBot="1" x14ac:dyDescent="0.3">
      <c r="B18" s="2">
        <v>10</v>
      </c>
      <c r="C18" s="2" t="s">
        <v>36</v>
      </c>
      <c r="D18" s="2" t="s">
        <v>33</v>
      </c>
      <c r="E18" s="10">
        <v>1</v>
      </c>
      <c r="G18" s="2" t="s">
        <v>32</v>
      </c>
      <c r="H18" s="2" t="s">
        <v>33</v>
      </c>
      <c r="I18" s="10">
        <v>1</v>
      </c>
      <c r="K18" s="2" t="s">
        <v>36</v>
      </c>
      <c r="L18" s="2" t="s">
        <v>33</v>
      </c>
      <c r="M18" s="10">
        <v>3</v>
      </c>
      <c r="N18" s="2" t="s">
        <v>32</v>
      </c>
      <c r="O18" s="2" t="s">
        <v>33</v>
      </c>
      <c r="P18" s="10">
        <v>2</v>
      </c>
      <c r="Q18" s="2">
        <v>74</v>
      </c>
      <c r="R18" s="2" t="s">
        <v>35</v>
      </c>
      <c r="S18" s="2" t="s">
        <v>38</v>
      </c>
      <c r="T18" s="10">
        <v>3</v>
      </c>
      <c r="Y18" s="2">
        <v>43</v>
      </c>
      <c r="Z18" s="2" t="s">
        <v>37</v>
      </c>
      <c r="AA18" s="2" t="s">
        <v>38</v>
      </c>
      <c r="AB18" s="10">
        <v>2</v>
      </c>
    </row>
    <row r="19" spans="2:28" ht="39" thickBot="1" x14ac:dyDescent="0.3">
      <c r="B19" s="2">
        <v>11</v>
      </c>
      <c r="C19" s="2" t="s">
        <v>37</v>
      </c>
      <c r="D19" s="2" t="s">
        <v>38</v>
      </c>
      <c r="E19" s="10">
        <v>1</v>
      </c>
      <c r="G19" s="2" t="s">
        <v>34</v>
      </c>
      <c r="H19" s="2" t="s">
        <v>33</v>
      </c>
      <c r="I19" s="10">
        <v>1</v>
      </c>
      <c r="K19" s="2" t="s">
        <v>36</v>
      </c>
      <c r="L19" s="2" t="s">
        <v>38</v>
      </c>
      <c r="M19" s="10">
        <v>3</v>
      </c>
      <c r="N19" s="2" t="s">
        <v>32</v>
      </c>
      <c r="O19" s="2" t="s">
        <v>33</v>
      </c>
      <c r="P19" s="10">
        <v>2</v>
      </c>
      <c r="Q19" s="2">
        <v>78</v>
      </c>
      <c r="R19" s="2" t="s">
        <v>35</v>
      </c>
      <c r="S19" s="2" t="s">
        <v>33</v>
      </c>
      <c r="T19" s="10">
        <v>4</v>
      </c>
      <c r="Y19" s="2">
        <v>48</v>
      </c>
      <c r="Z19" s="2" t="s">
        <v>37</v>
      </c>
      <c r="AA19" s="2" t="s">
        <v>38</v>
      </c>
      <c r="AB19" s="10">
        <v>2</v>
      </c>
    </row>
    <row r="20" spans="2:28" ht="39" thickBot="1" x14ac:dyDescent="0.3">
      <c r="B20" s="2">
        <v>12</v>
      </c>
      <c r="C20" s="2" t="s">
        <v>34</v>
      </c>
      <c r="D20" s="2" t="s">
        <v>38</v>
      </c>
      <c r="E20" s="10">
        <v>1</v>
      </c>
      <c r="G20" s="2" t="s">
        <v>35</v>
      </c>
      <c r="H20" s="2" t="s">
        <v>33</v>
      </c>
      <c r="I20" s="10">
        <v>1</v>
      </c>
      <c r="K20" s="2" t="s">
        <v>36</v>
      </c>
      <c r="L20" s="2" t="s">
        <v>38</v>
      </c>
      <c r="M20" s="10">
        <v>3</v>
      </c>
      <c r="N20" s="2" t="s">
        <v>32</v>
      </c>
      <c r="O20" s="2" t="s">
        <v>33</v>
      </c>
      <c r="P20" s="10">
        <v>2</v>
      </c>
      <c r="Q20" s="2">
        <v>81</v>
      </c>
      <c r="R20" s="2" t="s">
        <v>35</v>
      </c>
      <c r="S20" s="2" t="s">
        <v>33</v>
      </c>
      <c r="T20" s="10">
        <v>4</v>
      </c>
      <c r="Y20" s="2">
        <v>57</v>
      </c>
      <c r="Z20" s="2" t="s">
        <v>37</v>
      </c>
      <c r="AA20" s="2" t="s">
        <v>33</v>
      </c>
      <c r="AB20" s="10">
        <v>3</v>
      </c>
    </row>
    <row r="21" spans="2:28" ht="39" thickBot="1" x14ac:dyDescent="0.3">
      <c r="B21" s="2">
        <v>13</v>
      </c>
      <c r="C21" s="2" t="s">
        <v>36</v>
      </c>
      <c r="D21" s="2" t="s">
        <v>38</v>
      </c>
      <c r="E21" s="10">
        <v>1</v>
      </c>
      <c r="G21" s="2" t="s">
        <v>32</v>
      </c>
      <c r="H21" s="2" t="s">
        <v>33</v>
      </c>
      <c r="I21" s="10">
        <v>1</v>
      </c>
      <c r="K21" s="2" t="s">
        <v>36</v>
      </c>
      <c r="L21" s="2" t="s">
        <v>38</v>
      </c>
      <c r="M21" s="10">
        <v>3</v>
      </c>
      <c r="N21" s="2" t="s">
        <v>32</v>
      </c>
      <c r="O21" s="2" t="s">
        <v>38</v>
      </c>
      <c r="P21" s="10">
        <v>2</v>
      </c>
      <c r="Q21" s="2">
        <v>83</v>
      </c>
      <c r="R21" s="2" t="s">
        <v>35</v>
      </c>
      <c r="S21" s="2" t="s">
        <v>33</v>
      </c>
      <c r="T21" s="10">
        <v>4</v>
      </c>
      <c r="Y21" s="2">
        <v>59</v>
      </c>
      <c r="Z21" s="2" t="s">
        <v>37</v>
      </c>
      <c r="AA21" s="2" t="s">
        <v>38</v>
      </c>
      <c r="AB21" s="10">
        <v>3</v>
      </c>
    </row>
    <row r="22" spans="2:28" ht="39" thickBot="1" x14ac:dyDescent="0.3">
      <c r="B22" s="2">
        <v>14</v>
      </c>
      <c r="C22" s="2" t="s">
        <v>32</v>
      </c>
      <c r="D22" s="2" t="s">
        <v>38</v>
      </c>
      <c r="E22" s="10">
        <v>1</v>
      </c>
      <c r="G22" s="2" t="s">
        <v>35</v>
      </c>
      <c r="H22" s="2" t="s">
        <v>33</v>
      </c>
      <c r="I22" s="10">
        <v>1</v>
      </c>
      <c r="K22" s="2" t="s">
        <v>36</v>
      </c>
      <c r="L22" s="2" t="s">
        <v>38</v>
      </c>
      <c r="M22" s="10">
        <v>3</v>
      </c>
      <c r="N22" s="2" t="s">
        <v>32</v>
      </c>
      <c r="O22" s="2" t="s">
        <v>38</v>
      </c>
      <c r="P22" s="10">
        <v>2</v>
      </c>
      <c r="Q22" s="2">
        <v>90</v>
      </c>
      <c r="R22" s="2" t="s">
        <v>35</v>
      </c>
      <c r="S22" s="2" t="s">
        <v>33</v>
      </c>
      <c r="T22" s="10">
        <v>4</v>
      </c>
      <c r="Y22" s="2">
        <v>63</v>
      </c>
      <c r="Z22" s="2" t="s">
        <v>37</v>
      </c>
      <c r="AA22" s="2" t="s">
        <v>38</v>
      </c>
      <c r="AB22" s="10">
        <v>3</v>
      </c>
    </row>
    <row r="23" spans="2:28" ht="39" thickBot="1" x14ac:dyDescent="0.3">
      <c r="B23" s="2">
        <v>15</v>
      </c>
      <c r="C23" s="2" t="s">
        <v>35</v>
      </c>
      <c r="D23" s="2" t="s">
        <v>38</v>
      </c>
      <c r="E23" s="10">
        <v>1</v>
      </c>
      <c r="G23" s="2" t="s">
        <v>34</v>
      </c>
      <c r="H23" s="2" t="s">
        <v>33</v>
      </c>
      <c r="I23" s="10">
        <v>1</v>
      </c>
      <c r="K23" s="2" t="s">
        <v>36</v>
      </c>
      <c r="L23" s="2" t="s">
        <v>38</v>
      </c>
      <c r="M23" s="10">
        <v>3</v>
      </c>
      <c r="N23" s="2" t="s">
        <v>32</v>
      </c>
      <c r="O23" s="2" t="s">
        <v>33</v>
      </c>
      <c r="P23" s="10">
        <v>3</v>
      </c>
      <c r="Q23" s="2">
        <v>97</v>
      </c>
      <c r="R23" s="2" t="s">
        <v>35</v>
      </c>
      <c r="S23" s="2" t="s">
        <v>38</v>
      </c>
      <c r="T23" s="10">
        <v>4</v>
      </c>
      <c r="Y23" s="2">
        <v>66</v>
      </c>
      <c r="Z23" s="2" t="s">
        <v>37</v>
      </c>
      <c r="AA23" s="2" t="s">
        <v>38</v>
      </c>
      <c r="AB23" s="10">
        <v>3</v>
      </c>
    </row>
    <row r="24" spans="2:28" ht="39" thickBot="1" x14ac:dyDescent="0.3">
      <c r="B24" s="2">
        <v>16</v>
      </c>
      <c r="C24" s="2" t="s">
        <v>37</v>
      </c>
      <c r="D24" s="2" t="s">
        <v>38</v>
      </c>
      <c r="E24" s="10">
        <v>1</v>
      </c>
      <c r="G24" s="2" t="s">
        <v>32</v>
      </c>
      <c r="H24" s="2" t="s">
        <v>33</v>
      </c>
      <c r="I24" s="10">
        <v>1</v>
      </c>
      <c r="K24" s="2" t="s">
        <v>36</v>
      </c>
      <c r="L24" s="2" t="s">
        <v>38</v>
      </c>
      <c r="M24" s="10">
        <v>3</v>
      </c>
      <c r="N24" s="2" t="s">
        <v>32</v>
      </c>
      <c r="O24" s="2" t="s">
        <v>33</v>
      </c>
      <c r="P24" s="10">
        <v>3</v>
      </c>
      <c r="Y24" s="2">
        <v>67</v>
      </c>
      <c r="Z24" s="2" t="s">
        <v>37</v>
      </c>
      <c r="AA24" s="2" t="s">
        <v>38</v>
      </c>
      <c r="AB24" s="10">
        <v>3</v>
      </c>
    </row>
    <row r="25" spans="2:28" ht="39" thickBot="1" x14ac:dyDescent="0.3">
      <c r="B25" s="2">
        <v>17</v>
      </c>
      <c r="C25" s="2" t="s">
        <v>36</v>
      </c>
      <c r="D25" s="2" t="s">
        <v>38</v>
      </c>
      <c r="E25" s="10">
        <v>1</v>
      </c>
      <c r="G25" s="2" t="s">
        <v>32</v>
      </c>
      <c r="H25" s="2" t="s">
        <v>33</v>
      </c>
      <c r="I25" s="10">
        <v>1</v>
      </c>
      <c r="K25" s="2" t="s">
        <v>36</v>
      </c>
      <c r="L25" s="2" t="s">
        <v>33</v>
      </c>
      <c r="M25" s="10">
        <v>4</v>
      </c>
      <c r="N25" s="2" t="s">
        <v>32</v>
      </c>
      <c r="O25" s="2" t="s">
        <v>33</v>
      </c>
      <c r="P25" s="10">
        <v>3</v>
      </c>
      <c r="Y25" s="2">
        <v>71</v>
      </c>
      <c r="Z25" s="2" t="s">
        <v>37</v>
      </c>
      <c r="AA25" s="2" t="s">
        <v>38</v>
      </c>
      <c r="AB25" s="10">
        <v>3</v>
      </c>
    </row>
    <row r="26" spans="2:28" ht="39" thickBot="1" x14ac:dyDescent="0.3">
      <c r="B26" s="2">
        <v>18</v>
      </c>
      <c r="C26" s="2" t="s">
        <v>37</v>
      </c>
      <c r="D26" s="2" t="s">
        <v>38</v>
      </c>
      <c r="E26" s="10">
        <v>1</v>
      </c>
      <c r="G26" s="2" t="s">
        <v>36</v>
      </c>
      <c r="H26" s="2" t="s">
        <v>33</v>
      </c>
      <c r="I26" s="10">
        <v>1</v>
      </c>
      <c r="K26" s="2" t="s">
        <v>36</v>
      </c>
      <c r="L26" s="2" t="s">
        <v>38</v>
      </c>
      <c r="M26" s="10">
        <v>4</v>
      </c>
      <c r="N26" s="2" t="s">
        <v>32</v>
      </c>
      <c r="O26" s="2" t="s">
        <v>33</v>
      </c>
      <c r="P26" s="10">
        <v>3</v>
      </c>
      <c r="Y26" s="2">
        <v>72</v>
      </c>
      <c r="Z26" s="2" t="s">
        <v>37</v>
      </c>
      <c r="AA26" s="2" t="s">
        <v>38</v>
      </c>
      <c r="AB26" s="10">
        <v>3</v>
      </c>
    </row>
    <row r="27" spans="2:28" ht="39" thickBot="1" x14ac:dyDescent="0.3">
      <c r="B27" s="2">
        <v>19</v>
      </c>
      <c r="C27" s="2" t="s">
        <v>37</v>
      </c>
      <c r="D27" s="2" t="s">
        <v>38</v>
      </c>
      <c r="E27" s="10">
        <v>1</v>
      </c>
      <c r="G27" s="2" t="s">
        <v>37</v>
      </c>
      <c r="H27" s="2" t="s">
        <v>38</v>
      </c>
      <c r="I27" s="10">
        <v>1</v>
      </c>
      <c r="K27" s="2" t="s">
        <v>36</v>
      </c>
      <c r="L27" s="2" t="s">
        <v>38</v>
      </c>
      <c r="M27" s="10">
        <v>4</v>
      </c>
      <c r="N27" s="2" t="s">
        <v>32</v>
      </c>
      <c r="O27" s="2" t="s">
        <v>38</v>
      </c>
      <c r="P27" s="10">
        <v>3</v>
      </c>
      <c r="Y27" s="2">
        <v>73</v>
      </c>
      <c r="Z27" s="2" t="s">
        <v>37</v>
      </c>
      <c r="AA27" s="2" t="s">
        <v>38</v>
      </c>
      <c r="AB27" s="10">
        <v>3</v>
      </c>
    </row>
    <row r="28" spans="2:28" ht="39" thickBot="1" x14ac:dyDescent="0.3">
      <c r="B28" s="2">
        <v>20</v>
      </c>
      <c r="C28" s="2" t="s">
        <v>36</v>
      </c>
      <c r="D28" s="2" t="s">
        <v>38</v>
      </c>
      <c r="E28" s="10">
        <v>1</v>
      </c>
      <c r="G28" s="2" t="s">
        <v>34</v>
      </c>
      <c r="H28" s="2" t="s">
        <v>38</v>
      </c>
      <c r="I28" s="10">
        <v>1</v>
      </c>
      <c r="N28" s="2" t="s">
        <v>32</v>
      </c>
      <c r="O28" s="2" t="s">
        <v>38</v>
      </c>
      <c r="P28" s="10">
        <v>3</v>
      </c>
      <c r="Y28" s="2">
        <v>77</v>
      </c>
      <c r="Z28" s="2" t="s">
        <v>37</v>
      </c>
      <c r="AA28" s="2" t="s">
        <v>38</v>
      </c>
      <c r="AB28" s="10">
        <v>3</v>
      </c>
    </row>
    <row r="29" spans="2:28" ht="39" thickBot="1" x14ac:dyDescent="0.3">
      <c r="B29" s="2">
        <v>21</v>
      </c>
      <c r="C29" s="2" t="s">
        <v>32</v>
      </c>
      <c r="D29" s="2" t="s">
        <v>38</v>
      </c>
      <c r="E29" s="10">
        <v>1</v>
      </c>
      <c r="G29" s="2" t="s">
        <v>36</v>
      </c>
      <c r="H29" s="2" t="s">
        <v>38</v>
      </c>
      <c r="I29" s="10">
        <v>1</v>
      </c>
      <c r="N29" s="2" t="s">
        <v>32</v>
      </c>
      <c r="O29" s="2" t="s">
        <v>33</v>
      </c>
      <c r="P29" s="10">
        <v>4</v>
      </c>
      <c r="Y29" s="2">
        <v>93</v>
      </c>
      <c r="Z29" s="2" t="s">
        <v>37</v>
      </c>
      <c r="AA29" s="2" t="s">
        <v>38</v>
      </c>
      <c r="AB29" s="10">
        <v>4</v>
      </c>
    </row>
    <row r="30" spans="2:28" ht="39" thickBot="1" x14ac:dyDescent="0.3">
      <c r="B30" s="2">
        <v>22</v>
      </c>
      <c r="C30" s="2" t="s">
        <v>35</v>
      </c>
      <c r="D30" s="2" t="s">
        <v>38</v>
      </c>
      <c r="E30" s="10">
        <v>1</v>
      </c>
      <c r="G30" s="2" t="s">
        <v>32</v>
      </c>
      <c r="H30" s="2" t="s">
        <v>38</v>
      </c>
      <c r="I30" s="10">
        <v>1</v>
      </c>
      <c r="N30" s="2" t="s">
        <v>32</v>
      </c>
      <c r="O30" s="2" t="s">
        <v>33</v>
      </c>
      <c r="P30" s="10">
        <v>4</v>
      </c>
      <c r="Y30" s="2">
        <v>95</v>
      </c>
      <c r="Z30" s="2" t="s">
        <v>37</v>
      </c>
      <c r="AA30" s="2" t="s">
        <v>38</v>
      </c>
      <c r="AB30" s="10">
        <v>4</v>
      </c>
    </row>
    <row r="31" spans="2:28" ht="39" thickBot="1" x14ac:dyDescent="0.3">
      <c r="B31" s="2">
        <v>23</v>
      </c>
      <c r="C31" s="2" t="s">
        <v>37</v>
      </c>
      <c r="D31" s="2" t="s">
        <v>38</v>
      </c>
      <c r="E31" s="10">
        <v>1</v>
      </c>
      <c r="G31" s="2" t="s">
        <v>35</v>
      </c>
      <c r="H31" s="2" t="s">
        <v>38</v>
      </c>
      <c r="I31" s="10">
        <v>1</v>
      </c>
      <c r="N31" s="2" t="s">
        <v>32</v>
      </c>
      <c r="O31" s="2" t="s">
        <v>33</v>
      </c>
      <c r="P31" s="10">
        <v>4</v>
      </c>
      <c r="Y31" s="2">
        <v>98</v>
      </c>
      <c r="Z31" s="2" t="s">
        <v>37</v>
      </c>
      <c r="AA31" s="2" t="s">
        <v>38</v>
      </c>
      <c r="AB31" s="10">
        <v>4</v>
      </c>
    </row>
    <row r="32" spans="2:28" ht="39" thickBot="1" x14ac:dyDescent="0.3">
      <c r="B32" s="2">
        <v>24</v>
      </c>
      <c r="C32" s="2" t="s">
        <v>36</v>
      </c>
      <c r="D32" s="2" t="s">
        <v>38</v>
      </c>
      <c r="E32" s="10">
        <v>1</v>
      </c>
      <c r="G32" s="2" t="s">
        <v>37</v>
      </c>
      <c r="H32" s="2" t="s">
        <v>38</v>
      </c>
      <c r="I32" s="10">
        <v>1</v>
      </c>
      <c r="N32" s="2" t="s">
        <v>32</v>
      </c>
      <c r="O32" s="2" t="s">
        <v>33</v>
      </c>
      <c r="P32" s="10">
        <v>4</v>
      </c>
      <c r="Y32" s="2">
        <v>99</v>
      </c>
      <c r="Z32" s="2" t="s">
        <v>37</v>
      </c>
      <c r="AA32" s="2" t="s">
        <v>38</v>
      </c>
      <c r="AB32" s="10">
        <v>4</v>
      </c>
    </row>
    <row r="33" spans="2:16" ht="26.25" thickBot="1" x14ac:dyDescent="0.3">
      <c r="B33" s="2">
        <v>25</v>
      </c>
      <c r="C33" s="2" t="s">
        <v>37</v>
      </c>
      <c r="D33" s="2" t="s">
        <v>38</v>
      </c>
      <c r="E33" s="10">
        <v>1</v>
      </c>
      <c r="G33" s="2" t="s">
        <v>36</v>
      </c>
      <c r="H33" s="2" t="s">
        <v>38</v>
      </c>
      <c r="I33" s="10">
        <v>1</v>
      </c>
      <c r="N33" s="2" t="s">
        <v>32</v>
      </c>
      <c r="O33" s="2" t="s">
        <v>33</v>
      </c>
      <c r="P33" s="10">
        <v>4</v>
      </c>
    </row>
    <row r="34" spans="2:16" ht="26.25" thickBot="1" x14ac:dyDescent="0.3">
      <c r="B34" s="2">
        <v>26</v>
      </c>
      <c r="C34" s="2" t="s">
        <v>32</v>
      </c>
      <c r="D34" s="2" t="s">
        <v>33</v>
      </c>
      <c r="E34" s="10">
        <v>2</v>
      </c>
      <c r="G34" s="2" t="s">
        <v>37</v>
      </c>
      <c r="H34" s="2" t="s">
        <v>38</v>
      </c>
      <c r="I34" s="10">
        <v>1</v>
      </c>
      <c r="N34" s="2" t="s">
        <v>32</v>
      </c>
      <c r="O34" s="2" t="s">
        <v>33</v>
      </c>
      <c r="P34" s="10">
        <v>4</v>
      </c>
    </row>
    <row r="35" spans="2:16" ht="26.25" thickBot="1" x14ac:dyDescent="0.3">
      <c r="B35" s="2">
        <v>27</v>
      </c>
      <c r="C35" s="2" t="s">
        <v>37</v>
      </c>
      <c r="D35" s="2" t="s">
        <v>33</v>
      </c>
      <c r="E35" s="10">
        <v>2</v>
      </c>
      <c r="G35" s="2" t="s">
        <v>37</v>
      </c>
      <c r="H35" s="2" t="s">
        <v>38</v>
      </c>
      <c r="I35" s="10">
        <v>1</v>
      </c>
      <c r="N35" s="2" t="s">
        <v>32</v>
      </c>
      <c r="O35" s="2" t="s">
        <v>33</v>
      </c>
      <c r="P35" s="10">
        <v>4</v>
      </c>
    </row>
    <row r="36" spans="2:16" ht="26.25" thickBot="1" x14ac:dyDescent="0.3">
      <c r="B36" s="2">
        <v>28</v>
      </c>
      <c r="C36" s="2" t="s">
        <v>32</v>
      </c>
      <c r="D36" s="2" t="s">
        <v>33</v>
      </c>
      <c r="E36" s="10">
        <v>2</v>
      </c>
      <c r="G36" s="2" t="s">
        <v>36</v>
      </c>
      <c r="H36" s="2" t="s">
        <v>38</v>
      </c>
      <c r="I36" s="10">
        <v>1</v>
      </c>
      <c r="N36" s="2" t="s">
        <v>32</v>
      </c>
      <c r="O36" s="2" t="s">
        <v>38</v>
      </c>
      <c r="P36" s="10">
        <v>4</v>
      </c>
    </row>
    <row r="37" spans="2:16" ht="26.25" thickBot="1" x14ac:dyDescent="0.3">
      <c r="B37" s="2">
        <v>29</v>
      </c>
      <c r="C37" s="2" t="s">
        <v>34</v>
      </c>
      <c r="D37" s="2" t="s">
        <v>33</v>
      </c>
      <c r="E37" s="10">
        <v>2</v>
      </c>
      <c r="G37" s="2" t="s">
        <v>32</v>
      </c>
      <c r="H37" s="2" t="s">
        <v>38</v>
      </c>
      <c r="I37" s="10">
        <v>1</v>
      </c>
      <c r="N37" s="2" t="s">
        <v>32</v>
      </c>
      <c r="O37" s="2" t="s">
        <v>38</v>
      </c>
      <c r="P37" s="10">
        <v>4</v>
      </c>
    </row>
    <row r="38" spans="2:16" ht="15.75" thickBot="1" x14ac:dyDescent="0.3">
      <c r="B38" s="2">
        <v>30</v>
      </c>
      <c r="C38" s="2" t="s">
        <v>32</v>
      </c>
      <c r="D38" s="2" t="s">
        <v>33</v>
      </c>
      <c r="E38" s="10">
        <v>2</v>
      </c>
      <c r="G38" s="2" t="s">
        <v>35</v>
      </c>
      <c r="H38" s="2" t="s">
        <v>38</v>
      </c>
      <c r="I38" s="10">
        <v>1</v>
      </c>
    </row>
    <row r="39" spans="2:16" ht="15.75" thickBot="1" x14ac:dyDescent="0.3">
      <c r="B39" s="2">
        <v>31</v>
      </c>
      <c r="C39" s="2" t="s">
        <v>32</v>
      </c>
      <c r="D39" s="2" t="s">
        <v>33</v>
      </c>
      <c r="E39" s="10">
        <v>2</v>
      </c>
      <c r="G39" s="2" t="s">
        <v>37</v>
      </c>
      <c r="H39" s="2" t="s">
        <v>38</v>
      </c>
      <c r="I39" s="10">
        <v>1</v>
      </c>
    </row>
    <row r="40" spans="2:16" ht="26.25" thickBot="1" x14ac:dyDescent="0.3">
      <c r="B40" s="2">
        <v>32</v>
      </c>
      <c r="C40" s="2" t="s">
        <v>35</v>
      </c>
      <c r="D40" s="2" t="s">
        <v>33</v>
      </c>
      <c r="E40" s="10">
        <v>2</v>
      </c>
      <c r="G40" s="2" t="s">
        <v>36</v>
      </c>
      <c r="H40" s="2" t="s">
        <v>38</v>
      </c>
      <c r="I40" s="10">
        <v>1</v>
      </c>
    </row>
    <row r="41" spans="2:16" ht="15.75" thickBot="1" x14ac:dyDescent="0.3">
      <c r="B41" s="2">
        <v>33</v>
      </c>
      <c r="C41" s="2" t="s">
        <v>32</v>
      </c>
      <c r="D41" s="2" t="s">
        <v>33</v>
      </c>
      <c r="E41" s="10">
        <v>2</v>
      </c>
      <c r="G41" s="2" t="s">
        <v>37</v>
      </c>
      <c r="H41" s="2" t="s">
        <v>38</v>
      </c>
      <c r="I41" s="10">
        <v>1</v>
      </c>
    </row>
    <row r="42" spans="2:16" ht="15.75" thickBot="1" x14ac:dyDescent="0.3">
      <c r="B42" s="2">
        <v>34</v>
      </c>
      <c r="C42" s="2" t="s">
        <v>34</v>
      </c>
      <c r="D42" s="2" t="s">
        <v>33</v>
      </c>
      <c r="E42" s="10">
        <v>2</v>
      </c>
    </row>
    <row r="43" spans="2:16" ht="15.75" thickBot="1" x14ac:dyDescent="0.3">
      <c r="B43" s="2">
        <v>35</v>
      </c>
      <c r="C43" s="2" t="s">
        <v>37</v>
      </c>
      <c r="D43" s="2" t="s">
        <v>33</v>
      </c>
      <c r="E43" s="10">
        <v>2</v>
      </c>
    </row>
    <row r="44" spans="2:16" ht="15.75" thickBot="1" x14ac:dyDescent="0.3">
      <c r="B44" s="2">
        <v>36</v>
      </c>
      <c r="C44" s="2" t="s">
        <v>32</v>
      </c>
      <c r="D44" s="2" t="s">
        <v>33</v>
      </c>
      <c r="E44" s="10">
        <v>2</v>
      </c>
      <c r="G44" s="3" t="s">
        <v>31</v>
      </c>
      <c r="H44" s="13">
        <v>1</v>
      </c>
    </row>
    <row r="45" spans="2:16" ht="15.75" thickBot="1" x14ac:dyDescent="0.3">
      <c r="B45" s="2">
        <v>37</v>
      </c>
      <c r="C45" s="2" t="s">
        <v>35</v>
      </c>
      <c r="D45" s="2" t="s">
        <v>33</v>
      </c>
      <c r="E45" s="10">
        <v>2</v>
      </c>
    </row>
    <row r="46" spans="2:16" ht="15.75" thickBot="1" x14ac:dyDescent="0.3">
      <c r="B46" s="2">
        <v>38</v>
      </c>
      <c r="C46" s="2" t="s">
        <v>37</v>
      </c>
      <c r="D46" s="2" t="s">
        <v>38</v>
      </c>
      <c r="E46" s="10">
        <v>2</v>
      </c>
      <c r="G46" s="3" t="s">
        <v>41</v>
      </c>
      <c r="H46" t="s">
        <v>168</v>
      </c>
    </row>
    <row r="47" spans="2:16" ht="15.75" thickBot="1" x14ac:dyDescent="0.3">
      <c r="B47" s="2">
        <v>39</v>
      </c>
      <c r="C47" s="2" t="s">
        <v>37</v>
      </c>
      <c r="D47" s="2" t="s">
        <v>38</v>
      </c>
      <c r="E47" s="10">
        <v>2</v>
      </c>
      <c r="G47" s="13" t="s">
        <v>36</v>
      </c>
      <c r="H47" s="139">
        <v>5</v>
      </c>
    </row>
    <row r="48" spans="2:16" ht="15.75" thickBot="1" x14ac:dyDescent="0.3">
      <c r="B48" s="2">
        <v>40</v>
      </c>
      <c r="C48" s="2" t="s">
        <v>36</v>
      </c>
      <c r="D48" s="2" t="s">
        <v>38</v>
      </c>
      <c r="E48" s="10">
        <v>2</v>
      </c>
      <c r="G48" s="13" t="s">
        <v>32</v>
      </c>
      <c r="H48" s="139">
        <v>7</v>
      </c>
    </row>
    <row r="49" spans="2:8" ht="15.75" thickBot="1" x14ac:dyDescent="0.3">
      <c r="B49" s="2">
        <v>41</v>
      </c>
      <c r="C49" s="2" t="s">
        <v>32</v>
      </c>
      <c r="D49" s="2" t="s">
        <v>38</v>
      </c>
      <c r="E49" s="10">
        <v>2</v>
      </c>
      <c r="G49" s="4" t="s">
        <v>38</v>
      </c>
      <c r="H49" s="139">
        <v>2</v>
      </c>
    </row>
    <row r="50" spans="2:8" ht="15.75" thickBot="1" x14ac:dyDescent="0.3">
      <c r="B50" s="2">
        <v>42</v>
      </c>
      <c r="C50" s="2" t="s">
        <v>36</v>
      </c>
      <c r="D50" s="2" t="s">
        <v>38</v>
      </c>
      <c r="E50" s="10">
        <v>2</v>
      </c>
      <c r="G50" s="4" t="s">
        <v>33</v>
      </c>
      <c r="H50" s="139">
        <v>5</v>
      </c>
    </row>
    <row r="51" spans="2:8" ht="15.75" thickBot="1" x14ac:dyDescent="0.3">
      <c r="B51" s="2">
        <v>43</v>
      </c>
      <c r="C51" s="2" t="s">
        <v>37</v>
      </c>
      <c r="D51" s="2" t="s">
        <v>38</v>
      </c>
      <c r="E51" s="10">
        <v>2</v>
      </c>
      <c r="G51" s="13" t="s">
        <v>35</v>
      </c>
      <c r="H51" s="139">
        <v>4</v>
      </c>
    </row>
    <row r="52" spans="2:8" ht="15.75" thickBot="1" x14ac:dyDescent="0.3">
      <c r="B52" s="2">
        <v>44</v>
      </c>
      <c r="C52" s="2" t="s">
        <v>36</v>
      </c>
      <c r="D52" s="2" t="s">
        <v>38</v>
      </c>
      <c r="E52" s="10">
        <v>2</v>
      </c>
      <c r="G52" s="4" t="s">
        <v>38</v>
      </c>
      <c r="H52" s="139">
        <v>2</v>
      </c>
    </row>
    <row r="53" spans="2:8" ht="15.75" thickBot="1" x14ac:dyDescent="0.3">
      <c r="B53" s="2">
        <v>45</v>
      </c>
      <c r="C53" s="2" t="s">
        <v>36</v>
      </c>
      <c r="D53" s="2" t="s">
        <v>38</v>
      </c>
      <c r="E53" s="10">
        <v>2</v>
      </c>
      <c r="G53" s="4" t="s">
        <v>33</v>
      </c>
      <c r="H53" s="139">
        <v>2</v>
      </c>
    </row>
    <row r="54" spans="2:8" ht="15.75" thickBot="1" x14ac:dyDescent="0.3">
      <c r="B54" s="2">
        <v>46</v>
      </c>
      <c r="C54" s="2" t="s">
        <v>32</v>
      </c>
      <c r="D54" s="2" t="s">
        <v>38</v>
      </c>
      <c r="E54" s="10">
        <v>2</v>
      </c>
      <c r="G54" s="13" t="s">
        <v>34</v>
      </c>
      <c r="H54" s="139">
        <v>3</v>
      </c>
    </row>
    <row r="55" spans="2:8" ht="15.75" thickBot="1" x14ac:dyDescent="0.3">
      <c r="B55" s="2">
        <v>47</v>
      </c>
      <c r="C55" s="2" t="s">
        <v>36</v>
      </c>
      <c r="D55" s="2" t="s">
        <v>38</v>
      </c>
      <c r="E55" s="10">
        <v>2</v>
      </c>
      <c r="G55" s="4" t="s">
        <v>38</v>
      </c>
      <c r="H55" s="139">
        <v>1</v>
      </c>
    </row>
    <row r="56" spans="2:8" ht="15.75" thickBot="1" x14ac:dyDescent="0.3">
      <c r="B56" s="2">
        <v>48</v>
      </c>
      <c r="C56" s="2" t="s">
        <v>37</v>
      </c>
      <c r="D56" s="2" t="s">
        <v>38</v>
      </c>
      <c r="E56" s="10">
        <v>2</v>
      </c>
      <c r="G56" s="4" t="s">
        <v>33</v>
      </c>
      <c r="H56" s="139">
        <v>2</v>
      </c>
    </row>
    <row r="57" spans="2:8" ht="15.75" thickBot="1" x14ac:dyDescent="0.3">
      <c r="B57" s="2">
        <v>49</v>
      </c>
      <c r="C57" s="2" t="s">
        <v>35</v>
      </c>
      <c r="D57" s="2" t="s">
        <v>33</v>
      </c>
      <c r="E57" s="10">
        <v>3</v>
      </c>
      <c r="G57" s="13" t="s">
        <v>37</v>
      </c>
      <c r="H57" s="139">
        <v>6</v>
      </c>
    </row>
    <row r="58" spans="2:8" ht="15.75" thickBot="1" x14ac:dyDescent="0.3">
      <c r="B58" s="2">
        <v>50</v>
      </c>
      <c r="C58" s="2" t="s">
        <v>35</v>
      </c>
      <c r="D58" s="2" t="s">
        <v>33</v>
      </c>
      <c r="E58" s="10">
        <v>3</v>
      </c>
      <c r="G58" s="4" t="s">
        <v>38</v>
      </c>
      <c r="H58" s="139">
        <v>6</v>
      </c>
    </row>
    <row r="59" spans="2:8" ht="15.75" thickBot="1" x14ac:dyDescent="0.3">
      <c r="B59" s="2">
        <v>51</v>
      </c>
      <c r="C59" s="2" t="s">
        <v>32</v>
      </c>
      <c r="D59" s="2" t="s">
        <v>33</v>
      </c>
      <c r="E59" s="10">
        <v>3</v>
      </c>
      <c r="G59" s="13" t="s">
        <v>42</v>
      </c>
      <c r="H59" s="139">
        <v>25</v>
      </c>
    </row>
    <row r="60" spans="2:8" ht="15.75" thickBot="1" x14ac:dyDescent="0.3">
      <c r="B60" s="2">
        <v>52</v>
      </c>
      <c r="C60" s="2" t="s">
        <v>36</v>
      </c>
      <c r="D60" s="2" t="s">
        <v>33</v>
      </c>
      <c r="E60" s="10">
        <v>3</v>
      </c>
    </row>
    <row r="61" spans="2:8" ht="15.75" thickBot="1" x14ac:dyDescent="0.3">
      <c r="B61" s="2">
        <v>53</v>
      </c>
      <c r="C61" s="2" t="s">
        <v>32</v>
      </c>
      <c r="D61" s="2" t="s">
        <v>33</v>
      </c>
      <c r="E61" s="10">
        <v>3</v>
      </c>
    </row>
    <row r="62" spans="2:8" ht="15.75" thickBot="1" x14ac:dyDescent="0.3">
      <c r="B62" s="2">
        <v>54</v>
      </c>
      <c r="C62" s="2" t="s">
        <v>32</v>
      </c>
      <c r="D62" s="2" t="s">
        <v>33</v>
      </c>
      <c r="E62" s="10">
        <v>3</v>
      </c>
    </row>
    <row r="63" spans="2:8" ht="15.75" thickBot="1" x14ac:dyDescent="0.3">
      <c r="B63" s="2">
        <v>55</v>
      </c>
      <c r="C63" s="2" t="s">
        <v>35</v>
      </c>
      <c r="D63" s="2" t="s">
        <v>33</v>
      </c>
      <c r="E63" s="10">
        <v>3</v>
      </c>
    </row>
    <row r="64" spans="2:8" ht="15.75" thickBot="1" x14ac:dyDescent="0.3">
      <c r="B64" s="2">
        <v>56</v>
      </c>
      <c r="C64" s="2" t="s">
        <v>34</v>
      </c>
      <c r="D64" s="2" t="s">
        <v>33</v>
      </c>
      <c r="E64" s="10">
        <v>3</v>
      </c>
    </row>
    <row r="65" spans="2:8" ht="15.75" thickBot="1" x14ac:dyDescent="0.3">
      <c r="B65" s="2">
        <v>57</v>
      </c>
      <c r="C65" s="2" t="s">
        <v>37</v>
      </c>
      <c r="D65" s="2" t="s">
        <v>33</v>
      </c>
      <c r="E65" s="10">
        <v>3</v>
      </c>
    </row>
    <row r="66" spans="2:8" ht="15.75" thickBot="1" x14ac:dyDescent="0.3">
      <c r="B66" s="2">
        <v>58</v>
      </c>
      <c r="C66" s="2" t="s">
        <v>32</v>
      </c>
      <c r="D66" s="2" t="s">
        <v>33</v>
      </c>
      <c r="E66" s="10">
        <v>3</v>
      </c>
    </row>
    <row r="67" spans="2:8" ht="15.75" thickBot="1" x14ac:dyDescent="0.3">
      <c r="B67" s="2">
        <v>59</v>
      </c>
      <c r="C67" s="2" t="s">
        <v>37</v>
      </c>
      <c r="D67" s="2" t="s">
        <v>38</v>
      </c>
      <c r="E67" s="10">
        <v>3</v>
      </c>
    </row>
    <row r="68" spans="2:8" ht="15.75" thickBot="1" x14ac:dyDescent="0.3">
      <c r="B68" s="2">
        <v>60</v>
      </c>
      <c r="C68" s="2" t="s">
        <v>32</v>
      </c>
      <c r="D68" s="2" t="s">
        <v>38</v>
      </c>
      <c r="E68" s="10">
        <v>3</v>
      </c>
      <c r="G68" s="3" t="s">
        <v>41</v>
      </c>
      <c r="H68" t="s">
        <v>156</v>
      </c>
    </row>
    <row r="69" spans="2:8" ht="15.75" thickBot="1" x14ac:dyDescent="0.3">
      <c r="B69" s="2">
        <v>61</v>
      </c>
      <c r="C69" s="2" t="s">
        <v>36</v>
      </c>
      <c r="D69" s="2" t="s">
        <v>38</v>
      </c>
      <c r="E69" s="10">
        <v>3</v>
      </c>
      <c r="G69" s="13" t="s">
        <v>38</v>
      </c>
      <c r="H69" s="139">
        <v>54</v>
      </c>
    </row>
    <row r="70" spans="2:8" ht="15.75" thickBot="1" x14ac:dyDescent="0.3">
      <c r="B70" s="2">
        <v>62</v>
      </c>
      <c r="C70" s="2" t="s">
        <v>36</v>
      </c>
      <c r="D70" s="2" t="s">
        <v>38</v>
      </c>
      <c r="E70" s="10">
        <v>3</v>
      </c>
      <c r="G70" s="13" t="s">
        <v>33</v>
      </c>
      <c r="H70" s="139">
        <v>46</v>
      </c>
    </row>
    <row r="71" spans="2:8" ht="15.75" thickBot="1" x14ac:dyDescent="0.3">
      <c r="B71" s="2">
        <v>63</v>
      </c>
      <c r="C71" s="2" t="s">
        <v>37</v>
      </c>
      <c r="D71" s="2" t="s">
        <v>38</v>
      </c>
      <c r="E71" s="10">
        <v>3</v>
      </c>
      <c r="G71" s="13" t="s">
        <v>42</v>
      </c>
      <c r="H71" s="139">
        <v>100</v>
      </c>
    </row>
    <row r="72" spans="2:8" ht="15.75" thickBot="1" x14ac:dyDescent="0.3">
      <c r="B72" s="2">
        <v>64</v>
      </c>
      <c r="C72" s="2" t="s">
        <v>36</v>
      </c>
      <c r="D72" s="2" t="s">
        <v>38</v>
      </c>
      <c r="E72" s="10">
        <v>3</v>
      </c>
    </row>
    <row r="73" spans="2:8" ht="15.75" thickBot="1" x14ac:dyDescent="0.3">
      <c r="B73" s="2">
        <v>65</v>
      </c>
      <c r="C73" s="2" t="s">
        <v>32</v>
      </c>
      <c r="D73" s="2" t="s">
        <v>38</v>
      </c>
      <c r="E73" s="10">
        <v>3</v>
      </c>
      <c r="G73" s="3" t="s">
        <v>41</v>
      </c>
      <c r="H73" t="s">
        <v>156</v>
      </c>
    </row>
    <row r="74" spans="2:8" ht="15.75" thickBot="1" x14ac:dyDescent="0.3">
      <c r="B74" s="2">
        <v>66</v>
      </c>
      <c r="C74" s="2" t="s">
        <v>37</v>
      </c>
      <c r="D74" s="2" t="s">
        <v>38</v>
      </c>
      <c r="E74" s="10">
        <v>3</v>
      </c>
      <c r="G74" s="13" t="s">
        <v>38</v>
      </c>
      <c r="H74" s="139">
        <v>54</v>
      </c>
    </row>
    <row r="75" spans="2:8" ht="15.75" thickBot="1" x14ac:dyDescent="0.3">
      <c r="B75" s="2">
        <v>67</v>
      </c>
      <c r="C75" s="2" t="s">
        <v>37</v>
      </c>
      <c r="D75" s="2" t="s">
        <v>38</v>
      </c>
      <c r="E75" s="10">
        <v>3</v>
      </c>
      <c r="G75" s="4" t="s">
        <v>36</v>
      </c>
      <c r="H75" s="139">
        <v>17</v>
      </c>
    </row>
    <row r="76" spans="2:8" ht="15.75" thickBot="1" x14ac:dyDescent="0.3">
      <c r="B76" s="2">
        <v>68</v>
      </c>
      <c r="C76" s="2" t="s">
        <v>36</v>
      </c>
      <c r="D76" s="2" t="s">
        <v>38</v>
      </c>
      <c r="E76" s="10">
        <v>3</v>
      </c>
      <c r="G76" s="4" t="s">
        <v>32</v>
      </c>
      <c r="H76" s="139">
        <v>8</v>
      </c>
    </row>
    <row r="77" spans="2:8" ht="15.75" thickBot="1" x14ac:dyDescent="0.3">
      <c r="B77" s="2">
        <v>69</v>
      </c>
      <c r="C77" s="2" t="s">
        <v>36</v>
      </c>
      <c r="D77" s="2" t="s">
        <v>38</v>
      </c>
      <c r="E77" s="10">
        <v>3</v>
      </c>
      <c r="G77" s="4" t="s">
        <v>35</v>
      </c>
      <c r="H77" s="139">
        <v>5</v>
      </c>
    </row>
    <row r="78" spans="2:8" ht="15.75" thickBot="1" x14ac:dyDescent="0.3">
      <c r="B78" s="2">
        <v>70</v>
      </c>
      <c r="C78" s="2" t="s">
        <v>35</v>
      </c>
      <c r="D78" s="2" t="s">
        <v>38</v>
      </c>
      <c r="E78" s="10">
        <v>3</v>
      </c>
      <c r="G78" s="4" t="s">
        <v>34</v>
      </c>
      <c r="H78" s="139">
        <v>2</v>
      </c>
    </row>
    <row r="79" spans="2:8" ht="15.75" thickBot="1" x14ac:dyDescent="0.3">
      <c r="B79" s="2">
        <v>71</v>
      </c>
      <c r="C79" s="2" t="s">
        <v>37</v>
      </c>
      <c r="D79" s="2" t="s">
        <v>38</v>
      </c>
      <c r="E79" s="10">
        <v>3</v>
      </c>
      <c r="G79" s="154" t="s">
        <v>37</v>
      </c>
      <c r="H79" s="155">
        <v>22</v>
      </c>
    </row>
    <row r="80" spans="2:8" ht="15.75" thickBot="1" x14ac:dyDescent="0.3">
      <c r="B80" s="2">
        <v>72</v>
      </c>
      <c r="C80" s="2" t="s">
        <v>37</v>
      </c>
      <c r="D80" s="2" t="s">
        <v>38</v>
      </c>
      <c r="E80" s="10">
        <v>3</v>
      </c>
      <c r="G80" s="13" t="s">
        <v>33</v>
      </c>
      <c r="H80" s="139">
        <v>46</v>
      </c>
    </row>
    <row r="81" spans="2:8" ht="15.75" thickBot="1" x14ac:dyDescent="0.3">
      <c r="B81" s="2">
        <v>73</v>
      </c>
      <c r="C81" s="2" t="s">
        <v>37</v>
      </c>
      <c r="D81" s="2" t="s">
        <v>38</v>
      </c>
      <c r="E81" s="10">
        <v>3</v>
      </c>
      <c r="G81" s="4" t="s">
        <v>36</v>
      </c>
      <c r="H81" s="139">
        <v>3</v>
      </c>
    </row>
    <row r="82" spans="2:8" ht="15.75" thickBot="1" x14ac:dyDescent="0.3">
      <c r="B82" s="2">
        <v>74</v>
      </c>
      <c r="C82" s="2" t="s">
        <v>35</v>
      </c>
      <c r="D82" s="2" t="s">
        <v>38</v>
      </c>
      <c r="E82" s="10">
        <v>3</v>
      </c>
      <c r="G82" s="4" t="s">
        <v>32</v>
      </c>
      <c r="H82" s="139">
        <v>22</v>
      </c>
    </row>
    <row r="83" spans="2:8" ht="15.75" thickBot="1" x14ac:dyDescent="0.3">
      <c r="B83" s="2">
        <v>75</v>
      </c>
      <c r="C83" s="2" t="s">
        <v>34</v>
      </c>
      <c r="D83" s="2" t="s">
        <v>38</v>
      </c>
      <c r="E83" s="10">
        <v>3</v>
      </c>
      <c r="G83" s="4" t="s">
        <v>35</v>
      </c>
      <c r="H83" s="139">
        <v>11</v>
      </c>
    </row>
    <row r="84" spans="2:8" ht="15.75" thickBot="1" x14ac:dyDescent="0.3">
      <c r="B84" s="2">
        <v>76</v>
      </c>
      <c r="C84" s="2" t="s">
        <v>36</v>
      </c>
      <c r="D84" s="2" t="s">
        <v>38</v>
      </c>
      <c r="E84" s="10">
        <v>3</v>
      </c>
      <c r="G84" s="4" t="s">
        <v>34</v>
      </c>
      <c r="H84" s="139">
        <v>7</v>
      </c>
    </row>
    <row r="85" spans="2:8" ht="15.75" thickBot="1" x14ac:dyDescent="0.3">
      <c r="B85" s="2">
        <v>77</v>
      </c>
      <c r="C85" s="2" t="s">
        <v>37</v>
      </c>
      <c r="D85" s="2" t="s">
        <v>38</v>
      </c>
      <c r="E85" s="10">
        <v>3</v>
      </c>
      <c r="G85" s="4" t="s">
        <v>37</v>
      </c>
      <c r="H85" s="139">
        <v>3</v>
      </c>
    </row>
    <row r="86" spans="2:8" ht="15.75" thickBot="1" x14ac:dyDescent="0.3">
      <c r="B86" s="2">
        <v>78</v>
      </c>
      <c r="C86" s="2" t="s">
        <v>35</v>
      </c>
      <c r="D86" s="2" t="s">
        <v>33</v>
      </c>
      <c r="E86" s="10">
        <v>4</v>
      </c>
      <c r="G86" s="13" t="s">
        <v>42</v>
      </c>
      <c r="H86" s="139">
        <v>100</v>
      </c>
    </row>
    <row r="87" spans="2:8" ht="15.75" thickBot="1" x14ac:dyDescent="0.3">
      <c r="B87" s="2">
        <v>79</v>
      </c>
      <c r="C87" s="2" t="s">
        <v>32</v>
      </c>
      <c r="D87" s="2" t="s">
        <v>33</v>
      </c>
      <c r="E87" s="10">
        <v>4</v>
      </c>
    </row>
    <row r="88" spans="2:8" ht="15.75" thickBot="1" x14ac:dyDescent="0.3">
      <c r="B88" s="2">
        <v>80</v>
      </c>
      <c r="C88" s="2" t="s">
        <v>32</v>
      </c>
      <c r="D88" s="2" t="s">
        <v>33</v>
      </c>
      <c r="E88" s="10">
        <v>4</v>
      </c>
      <c r="G88" s="3" t="s">
        <v>41</v>
      </c>
      <c r="H88" t="s">
        <v>156</v>
      </c>
    </row>
    <row r="89" spans="2:8" ht="15.75" thickBot="1" x14ac:dyDescent="0.3">
      <c r="B89" s="2">
        <v>81</v>
      </c>
      <c r="C89" s="2" t="s">
        <v>35</v>
      </c>
      <c r="D89" s="2" t="s">
        <v>33</v>
      </c>
      <c r="E89" s="10">
        <v>4</v>
      </c>
      <c r="G89" s="13" t="s">
        <v>35</v>
      </c>
      <c r="H89" s="139">
        <v>16</v>
      </c>
    </row>
    <row r="90" spans="2:8" ht="15.75" thickBot="1" x14ac:dyDescent="0.3">
      <c r="B90" s="2">
        <v>82</v>
      </c>
      <c r="C90" s="2" t="s">
        <v>32</v>
      </c>
      <c r="D90" s="2" t="s">
        <v>33</v>
      </c>
      <c r="E90" s="10">
        <v>4</v>
      </c>
      <c r="G90" s="4">
        <v>1</v>
      </c>
      <c r="H90" s="139">
        <v>4</v>
      </c>
    </row>
    <row r="91" spans="2:8" ht="15.75" thickBot="1" x14ac:dyDescent="0.3">
      <c r="B91" s="2">
        <v>83</v>
      </c>
      <c r="C91" s="2" t="s">
        <v>35</v>
      </c>
      <c r="D91" s="2" t="s">
        <v>33</v>
      </c>
      <c r="E91" s="10">
        <v>4</v>
      </c>
      <c r="G91" s="4">
        <v>2</v>
      </c>
      <c r="H91" s="139">
        <v>2</v>
      </c>
    </row>
    <row r="92" spans="2:8" ht="15.75" thickBot="1" x14ac:dyDescent="0.3">
      <c r="B92" s="2">
        <v>84</v>
      </c>
      <c r="C92" s="2" t="s">
        <v>34</v>
      </c>
      <c r="D92" s="2" t="s">
        <v>33</v>
      </c>
      <c r="E92" s="10">
        <v>4</v>
      </c>
      <c r="G92" s="4">
        <v>3</v>
      </c>
      <c r="H92" s="139">
        <v>5</v>
      </c>
    </row>
    <row r="93" spans="2:8" ht="15.75" thickBot="1" x14ac:dyDescent="0.3">
      <c r="B93" s="2">
        <v>85</v>
      </c>
      <c r="C93" s="2" t="s">
        <v>34</v>
      </c>
      <c r="D93" s="2" t="s">
        <v>33</v>
      </c>
      <c r="E93" s="10">
        <v>4</v>
      </c>
      <c r="G93" s="4">
        <v>4</v>
      </c>
      <c r="H93" s="139">
        <v>5</v>
      </c>
    </row>
    <row r="94" spans="2:8" ht="15.75" thickBot="1" x14ac:dyDescent="0.3">
      <c r="B94" s="2">
        <v>86</v>
      </c>
      <c r="C94" s="2" t="s">
        <v>32</v>
      </c>
      <c r="D94" s="2" t="s">
        <v>33</v>
      </c>
      <c r="E94" s="10">
        <v>4</v>
      </c>
      <c r="G94" s="13" t="s">
        <v>42</v>
      </c>
      <c r="H94" s="139">
        <v>16</v>
      </c>
    </row>
    <row r="95" spans="2:8" ht="15.75" thickBot="1" x14ac:dyDescent="0.3">
      <c r="B95" s="2">
        <v>87</v>
      </c>
      <c r="C95" s="2" t="s">
        <v>32</v>
      </c>
      <c r="D95" s="2" t="s">
        <v>33</v>
      </c>
      <c r="E95" s="10">
        <v>4</v>
      </c>
      <c r="G95" s="160" t="s">
        <v>188</v>
      </c>
      <c r="H95" s="161">
        <f>AVERAGE(H90:H93)</f>
        <v>4</v>
      </c>
    </row>
    <row r="96" spans="2:8" ht="15.75" thickBot="1" x14ac:dyDescent="0.3">
      <c r="B96" s="2">
        <v>88</v>
      </c>
      <c r="C96" s="2" t="s">
        <v>32</v>
      </c>
      <c r="D96" s="2" t="s">
        <v>33</v>
      </c>
      <c r="E96" s="10">
        <v>4</v>
      </c>
    </row>
    <row r="97" spans="2:5" ht="15.75" thickBot="1" x14ac:dyDescent="0.3">
      <c r="B97" s="2">
        <v>89</v>
      </c>
      <c r="C97" s="2" t="s">
        <v>32</v>
      </c>
      <c r="D97" s="2" t="s">
        <v>33</v>
      </c>
      <c r="E97" s="10">
        <v>4</v>
      </c>
    </row>
    <row r="98" spans="2:5" ht="15.75" thickBot="1" x14ac:dyDescent="0.3">
      <c r="B98" s="2">
        <v>90</v>
      </c>
      <c r="C98" s="2" t="s">
        <v>35</v>
      </c>
      <c r="D98" s="2" t="s">
        <v>33</v>
      </c>
      <c r="E98" s="10">
        <v>4</v>
      </c>
    </row>
    <row r="99" spans="2:5" ht="15.75" thickBot="1" x14ac:dyDescent="0.3">
      <c r="B99" s="2">
        <v>91</v>
      </c>
      <c r="C99" s="2" t="s">
        <v>36</v>
      </c>
      <c r="D99" s="2" t="s">
        <v>33</v>
      </c>
      <c r="E99" s="10">
        <v>4</v>
      </c>
    </row>
    <row r="100" spans="2:5" ht="15.75" thickBot="1" x14ac:dyDescent="0.3">
      <c r="B100" s="2">
        <v>92</v>
      </c>
      <c r="C100" s="2" t="s">
        <v>32</v>
      </c>
      <c r="D100" s="2" t="s">
        <v>38</v>
      </c>
      <c r="E100" s="10">
        <v>4</v>
      </c>
    </row>
    <row r="101" spans="2:5" ht="15.75" thickBot="1" x14ac:dyDescent="0.3">
      <c r="B101" s="2">
        <v>93</v>
      </c>
      <c r="C101" s="2" t="s">
        <v>37</v>
      </c>
      <c r="D101" s="2" t="s">
        <v>38</v>
      </c>
      <c r="E101" s="10">
        <v>4</v>
      </c>
    </row>
    <row r="102" spans="2:5" ht="15.75" thickBot="1" x14ac:dyDescent="0.3">
      <c r="B102" s="2">
        <v>94</v>
      </c>
      <c r="C102" s="2" t="s">
        <v>36</v>
      </c>
      <c r="D102" s="2" t="s">
        <v>38</v>
      </c>
      <c r="E102" s="10">
        <v>4</v>
      </c>
    </row>
    <row r="103" spans="2:5" ht="15.75" thickBot="1" x14ac:dyDescent="0.3">
      <c r="B103" s="2">
        <v>95</v>
      </c>
      <c r="C103" s="2" t="s">
        <v>37</v>
      </c>
      <c r="D103" s="2" t="s">
        <v>38</v>
      </c>
      <c r="E103" s="10">
        <v>4</v>
      </c>
    </row>
    <row r="104" spans="2:5" ht="15.75" thickBot="1" x14ac:dyDescent="0.3">
      <c r="B104" s="2">
        <v>96</v>
      </c>
      <c r="C104" s="2" t="s">
        <v>32</v>
      </c>
      <c r="D104" s="2" t="s">
        <v>38</v>
      </c>
      <c r="E104" s="10">
        <v>4</v>
      </c>
    </row>
    <row r="105" spans="2:5" ht="15.75" thickBot="1" x14ac:dyDescent="0.3">
      <c r="B105" s="2">
        <v>97</v>
      </c>
      <c r="C105" s="2" t="s">
        <v>35</v>
      </c>
      <c r="D105" s="2" t="s">
        <v>38</v>
      </c>
      <c r="E105" s="10">
        <v>4</v>
      </c>
    </row>
    <row r="106" spans="2:5" ht="15.75" thickBot="1" x14ac:dyDescent="0.3">
      <c r="B106" s="2">
        <v>98</v>
      </c>
      <c r="C106" s="2" t="s">
        <v>37</v>
      </c>
      <c r="D106" s="2" t="s">
        <v>38</v>
      </c>
      <c r="E106" s="10">
        <v>4</v>
      </c>
    </row>
    <row r="107" spans="2:5" ht="15.75" thickBot="1" x14ac:dyDescent="0.3">
      <c r="B107" s="2">
        <v>99</v>
      </c>
      <c r="C107" s="2" t="s">
        <v>37</v>
      </c>
      <c r="D107" s="2" t="s">
        <v>38</v>
      </c>
      <c r="E107" s="10">
        <v>4</v>
      </c>
    </row>
    <row r="108" spans="2:5" ht="15.75" thickBot="1" x14ac:dyDescent="0.3">
      <c r="B108" s="2">
        <v>100</v>
      </c>
      <c r="C108" s="2" t="s">
        <v>36</v>
      </c>
      <c r="D108" s="2" t="s">
        <v>38</v>
      </c>
      <c r="E108" s="10">
        <v>4</v>
      </c>
    </row>
  </sheetData>
  <autoFilter ref="B8:E108" xr:uid="{033CC818-099D-4996-8B7F-2D00A7B3D739}"/>
  <conditionalFormatting sqref="T8:T23">
    <cfRule type="cellIs" dxfId="3" priority="2" operator="equal">
      <formula>4</formula>
    </cfRule>
    <cfRule type="cellIs" dxfId="2" priority="3" operator="equal">
      <formula>3</formula>
    </cfRule>
    <cfRule type="cellIs" dxfId="1" priority="4" operator="equal">
      <formula>1</formula>
    </cfRule>
    <cfRule type="cellIs" dxfId="0" priority="5" operator="equal">
      <formula>2</formula>
    </cfRule>
  </conditionalFormatting>
  <pageMargins left="0.511811024" right="0.511811024" top="0.78740157499999996" bottom="0.78740157499999996" header="0.31496062000000002" footer="0.31496062000000002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40DDC-FB3B-4478-B01E-ECE6FD05F6DF}">
  <dimension ref="A3:C19"/>
  <sheetViews>
    <sheetView workbookViewId="0">
      <selection activeCell="B9" sqref="B9"/>
    </sheetView>
  </sheetViews>
  <sheetFormatPr defaultRowHeight="15" x14ac:dyDescent="0.25"/>
  <cols>
    <col min="1" max="1" width="18.42578125" bestFit="1" customWidth="1"/>
    <col min="2" max="2" width="20.140625" bestFit="1" customWidth="1"/>
    <col min="3" max="3" width="13.5703125" bestFit="1" customWidth="1"/>
  </cols>
  <sheetData>
    <row r="3" spans="1:3" x14ac:dyDescent="0.25">
      <c r="A3" s="3" t="s">
        <v>41</v>
      </c>
      <c r="B3" t="s">
        <v>156</v>
      </c>
    </row>
    <row r="4" spans="1:3" x14ac:dyDescent="0.25">
      <c r="A4" s="13" t="s">
        <v>36</v>
      </c>
      <c r="B4" s="139">
        <v>20</v>
      </c>
    </row>
    <row r="5" spans="1:3" x14ac:dyDescent="0.25">
      <c r="A5" s="4" t="s">
        <v>38</v>
      </c>
      <c r="B5" s="139">
        <v>17</v>
      </c>
      <c r="C5" t="s">
        <v>157</v>
      </c>
    </row>
    <row r="6" spans="1:3" x14ac:dyDescent="0.25">
      <c r="A6" s="4" t="s">
        <v>33</v>
      </c>
      <c r="B6" s="139">
        <v>3</v>
      </c>
    </row>
    <row r="7" spans="1:3" x14ac:dyDescent="0.25">
      <c r="A7" s="13" t="s">
        <v>32</v>
      </c>
      <c r="B7" s="140">
        <v>30</v>
      </c>
      <c r="C7" t="s">
        <v>158</v>
      </c>
    </row>
    <row r="8" spans="1:3" x14ac:dyDescent="0.25">
      <c r="A8" s="4" t="s">
        <v>38</v>
      </c>
      <c r="B8" s="139">
        <v>8</v>
      </c>
    </row>
    <row r="9" spans="1:3" x14ac:dyDescent="0.25">
      <c r="A9" s="4" t="s">
        <v>33</v>
      </c>
      <c r="B9" s="139">
        <v>22</v>
      </c>
    </row>
    <row r="10" spans="1:3" x14ac:dyDescent="0.25">
      <c r="A10" s="13" t="s">
        <v>35</v>
      </c>
      <c r="B10" s="139">
        <v>16</v>
      </c>
    </row>
    <row r="11" spans="1:3" x14ac:dyDescent="0.25">
      <c r="A11" s="4" t="s">
        <v>38</v>
      </c>
      <c r="B11" s="139">
        <v>5</v>
      </c>
    </row>
    <row r="12" spans="1:3" x14ac:dyDescent="0.25">
      <c r="A12" s="4" t="s">
        <v>33</v>
      </c>
      <c r="B12" s="139">
        <v>11</v>
      </c>
    </row>
    <row r="13" spans="1:3" x14ac:dyDescent="0.25">
      <c r="A13" s="13" t="s">
        <v>34</v>
      </c>
      <c r="B13" s="139">
        <v>9</v>
      </c>
    </row>
    <row r="14" spans="1:3" x14ac:dyDescent="0.25">
      <c r="A14" s="4" t="s">
        <v>38</v>
      </c>
      <c r="B14" s="139">
        <v>2</v>
      </c>
    </row>
    <row r="15" spans="1:3" x14ac:dyDescent="0.25">
      <c r="A15" s="4" t="s">
        <v>33</v>
      </c>
      <c r="B15" s="139">
        <v>7</v>
      </c>
    </row>
    <row r="16" spans="1:3" x14ac:dyDescent="0.25">
      <c r="A16" s="13" t="s">
        <v>37</v>
      </c>
      <c r="B16" s="139">
        <v>25</v>
      </c>
    </row>
    <row r="17" spans="1:2" x14ac:dyDescent="0.25">
      <c r="A17" s="4" t="s">
        <v>38</v>
      </c>
      <c r="B17" s="139">
        <v>22</v>
      </c>
    </row>
    <row r="18" spans="1:2" x14ac:dyDescent="0.25">
      <c r="A18" s="4" t="s">
        <v>33</v>
      </c>
      <c r="B18" s="139">
        <v>3</v>
      </c>
    </row>
    <row r="19" spans="1:2" x14ac:dyDescent="0.25">
      <c r="A19" s="13" t="s">
        <v>42</v>
      </c>
      <c r="B19" s="139">
        <v>100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6FCED-495B-48FD-963F-75F37F79E5BA}">
  <dimension ref="B3:AB137"/>
  <sheetViews>
    <sheetView topLeftCell="A24" workbookViewId="0">
      <selection activeCell="J42" sqref="J42"/>
    </sheetView>
  </sheetViews>
  <sheetFormatPr defaultRowHeight="15" x14ac:dyDescent="0.25"/>
  <cols>
    <col min="1" max="1" width="3.28515625" customWidth="1"/>
    <col min="2" max="2" width="22.42578125" customWidth="1"/>
    <col min="3" max="3" width="23" customWidth="1"/>
    <col min="4" max="4" width="15.7109375" customWidth="1"/>
    <col min="9" max="9" width="2.28515625" customWidth="1"/>
    <col min="13" max="13" width="7.5703125" customWidth="1"/>
    <col min="17" max="17" width="6.42578125" customWidth="1"/>
    <col min="21" max="21" width="2" customWidth="1"/>
    <col min="25" max="25" width="2.28515625" customWidth="1"/>
  </cols>
  <sheetData>
    <row r="3" spans="2:28" ht="15.75" thickBot="1" x14ac:dyDescent="0.3"/>
    <row r="4" spans="2:28" ht="26.25" thickBot="1" x14ac:dyDescent="0.3">
      <c r="F4" s="1" t="s">
        <v>48</v>
      </c>
      <c r="G4" s="1" t="s">
        <v>49</v>
      </c>
      <c r="H4" s="1" t="s">
        <v>50</v>
      </c>
      <c r="I4" s="1"/>
      <c r="J4" s="1" t="s">
        <v>48</v>
      </c>
      <c r="K4" s="1" t="s">
        <v>49</v>
      </c>
      <c r="L4" s="1" t="s">
        <v>50</v>
      </c>
      <c r="M4" s="1"/>
      <c r="N4" s="1" t="s">
        <v>48</v>
      </c>
      <c r="O4" s="1" t="s">
        <v>49</v>
      </c>
      <c r="P4" s="1" t="s">
        <v>50</v>
      </c>
      <c r="Q4" s="1"/>
      <c r="R4" s="1" t="s">
        <v>48</v>
      </c>
      <c r="S4" s="1" t="s">
        <v>49</v>
      </c>
      <c r="T4" s="1" t="s">
        <v>50</v>
      </c>
      <c r="U4" s="1"/>
      <c r="V4" s="1" t="s">
        <v>48</v>
      </c>
      <c r="W4" s="1" t="s">
        <v>49</v>
      </c>
      <c r="X4" s="1" t="s">
        <v>50</v>
      </c>
      <c r="Y4" s="1"/>
      <c r="Z4" s="1" t="s">
        <v>48</v>
      </c>
      <c r="AA4" s="1" t="s">
        <v>49</v>
      </c>
      <c r="AB4" s="1" t="s">
        <v>50</v>
      </c>
    </row>
    <row r="5" spans="2:28" ht="26.25" thickBot="1" x14ac:dyDescent="0.3">
      <c r="F5" s="2">
        <v>1</v>
      </c>
      <c r="G5" s="2" t="s">
        <v>51</v>
      </c>
      <c r="H5" s="2">
        <v>8.6</v>
      </c>
      <c r="I5" s="2"/>
      <c r="J5" s="2">
        <v>11</v>
      </c>
      <c r="K5" s="2" t="s">
        <v>56</v>
      </c>
      <c r="L5" s="2">
        <v>9.1</v>
      </c>
      <c r="M5" s="2"/>
      <c r="N5" s="2">
        <v>8</v>
      </c>
      <c r="O5" s="2" t="s">
        <v>55</v>
      </c>
      <c r="P5" s="2">
        <v>7.6</v>
      </c>
      <c r="Q5" s="2"/>
      <c r="R5" s="2">
        <v>3</v>
      </c>
      <c r="S5" s="2" t="s">
        <v>53</v>
      </c>
      <c r="T5" s="2">
        <v>8</v>
      </c>
      <c r="U5" s="2"/>
      <c r="V5" s="2">
        <v>2</v>
      </c>
      <c r="W5" s="2" t="s">
        <v>52</v>
      </c>
      <c r="X5" s="2">
        <v>8</v>
      </c>
      <c r="Y5" s="2"/>
      <c r="Z5" s="2">
        <v>4</v>
      </c>
      <c r="AA5" s="2" t="s">
        <v>54</v>
      </c>
      <c r="AB5" s="2">
        <v>7.4</v>
      </c>
    </row>
    <row r="6" spans="2:28" ht="26.25" thickBot="1" x14ac:dyDescent="0.3">
      <c r="F6" s="2">
        <v>6</v>
      </c>
      <c r="G6" s="2" t="s">
        <v>51</v>
      </c>
      <c r="H6" s="2">
        <v>7.9</v>
      </c>
      <c r="I6" s="2"/>
      <c r="J6" s="2">
        <v>34</v>
      </c>
      <c r="K6" s="2" t="s">
        <v>56</v>
      </c>
      <c r="L6" s="2">
        <v>8.1999999999999993</v>
      </c>
      <c r="M6" s="2"/>
      <c r="N6" s="2">
        <v>17</v>
      </c>
      <c r="O6" s="2" t="s">
        <v>55</v>
      </c>
      <c r="P6" s="2">
        <v>8.1999999999999993</v>
      </c>
      <c r="Q6" s="2"/>
      <c r="R6" s="2">
        <v>5</v>
      </c>
      <c r="S6" s="2" t="s">
        <v>53</v>
      </c>
      <c r="T6" s="2">
        <v>8.5</v>
      </c>
      <c r="U6" s="2"/>
      <c r="V6" s="2">
        <v>10</v>
      </c>
      <c r="W6" s="2" t="s">
        <v>52</v>
      </c>
      <c r="X6" s="2">
        <v>8.6</v>
      </c>
      <c r="Y6" s="2"/>
      <c r="Z6" s="2">
        <v>12</v>
      </c>
      <c r="AA6" s="2" t="s">
        <v>54</v>
      </c>
      <c r="AB6" s="2">
        <v>9.1999999999999993</v>
      </c>
    </row>
    <row r="7" spans="2:28" ht="26.25" thickBot="1" x14ac:dyDescent="0.3">
      <c r="F7" s="2">
        <v>7</v>
      </c>
      <c r="G7" s="2" t="s">
        <v>51</v>
      </c>
      <c r="H7" s="2">
        <v>9.6</v>
      </c>
      <c r="I7" s="2"/>
      <c r="J7" s="2">
        <v>35</v>
      </c>
      <c r="K7" s="2" t="s">
        <v>56</v>
      </c>
      <c r="L7" s="2">
        <v>9.6</v>
      </c>
      <c r="M7" s="2"/>
      <c r="N7" s="2">
        <v>18</v>
      </c>
      <c r="O7" s="2" t="s">
        <v>55</v>
      </c>
      <c r="P7" s="2">
        <v>8.1999999999999993</v>
      </c>
      <c r="Q7" s="2"/>
      <c r="R7" s="2">
        <v>9</v>
      </c>
      <c r="S7" s="2" t="s">
        <v>53</v>
      </c>
      <c r="T7" s="2">
        <v>8.3000000000000007</v>
      </c>
      <c r="U7" s="2"/>
      <c r="V7" s="2">
        <v>15</v>
      </c>
      <c r="W7" s="2" t="s">
        <v>52</v>
      </c>
      <c r="X7" s="2">
        <v>9.1</v>
      </c>
      <c r="Y7" s="2"/>
      <c r="Z7" s="2">
        <v>22</v>
      </c>
      <c r="AA7" s="2" t="s">
        <v>54</v>
      </c>
      <c r="AB7" s="2">
        <v>8.1</v>
      </c>
    </row>
    <row r="8" spans="2:28" ht="26.25" thickBot="1" x14ac:dyDescent="0.3">
      <c r="B8" s="1" t="s">
        <v>48</v>
      </c>
      <c r="C8" s="1" t="s">
        <v>49</v>
      </c>
      <c r="D8" s="1" t="s">
        <v>50</v>
      </c>
      <c r="F8" s="2">
        <v>13</v>
      </c>
      <c r="G8" s="2" t="s">
        <v>51</v>
      </c>
      <c r="H8" s="2">
        <v>7.5</v>
      </c>
      <c r="I8" s="2"/>
      <c r="J8" s="2">
        <v>76</v>
      </c>
      <c r="K8" s="2" t="s">
        <v>56</v>
      </c>
      <c r="L8" s="2">
        <v>8.3000000000000007</v>
      </c>
      <c r="M8" s="2"/>
      <c r="N8" s="2">
        <v>43</v>
      </c>
      <c r="O8" s="2" t="s">
        <v>55</v>
      </c>
      <c r="P8" s="2">
        <v>8.4</v>
      </c>
      <c r="Q8" s="2"/>
      <c r="R8" s="2">
        <v>19</v>
      </c>
      <c r="S8" s="2" t="s">
        <v>53</v>
      </c>
      <c r="T8" s="2">
        <v>8.9</v>
      </c>
      <c r="U8" s="2"/>
      <c r="V8" s="2">
        <v>16</v>
      </c>
      <c r="W8" s="2" t="s">
        <v>52</v>
      </c>
      <c r="X8" s="2">
        <v>8.8000000000000007</v>
      </c>
      <c r="Y8" s="2"/>
      <c r="Z8" s="2">
        <v>23</v>
      </c>
      <c r="AA8" s="2" t="s">
        <v>54</v>
      </c>
      <c r="AB8" s="2">
        <v>9.1</v>
      </c>
    </row>
    <row r="9" spans="2:28" ht="26.25" thickBot="1" x14ac:dyDescent="0.3">
      <c r="B9" s="2">
        <v>1</v>
      </c>
      <c r="C9" s="2" t="s">
        <v>51</v>
      </c>
      <c r="D9" s="2">
        <v>8.6</v>
      </c>
      <c r="F9" s="2">
        <v>14</v>
      </c>
      <c r="G9" s="2" t="s">
        <v>51</v>
      </c>
      <c r="H9" s="2">
        <v>8.8000000000000007</v>
      </c>
      <c r="I9" s="2"/>
      <c r="J9" s="2">
        <v>92</v>
      </c>
      <c r="K9" s="2" t="s">
        <v>56</v>
      </c>
      <c r="L9" s="2">
        <v>9.4</v>
      </c>
      <c r="M9" s="2"/>
      <c r="N9" s="2">
        <v>47</v>
      </c>
      <c r="O9" s="2" t="s">
        <v>55</v>
      </c>
      <c r="P9" s="2">
        <v>8.6999999999999993</v>
      </c>
      <c r="Q9" s="2"/>
      <c r="R9" s="2">
        <v>21</v>
      </c>
      <c r="S9" s="2" t="s">
        <v>53</v>
      </c>
      <c r="T9" s="2">
        <v>9.4</v>
      </c>
      <c r="U9" s="2"/>
      <c r="V9" s="2">
        <v>27</v>
      </c>
      <c r="W9" s="2" t="s">
        <v>52</v>
      </c>
      <c r="X9" s="2">
        <v>9.6999999999999993</v>
      </c>
      <c r="Y9" s="2"/>
      <c r="Z9" s="2">
        <v>26</v>
      </c>
      <c r="AA9" s="2" t="s">
        <v>54</v>
      </c>
      <c r="AB9" s="2">
        <v>8</v>
      </c>
    </row>
    <row r="10" spans="2:28" ht="26.25" thickBot="1" x14ac:dyDescent="0.3">
      <c r="B10" s="2">
        <v>2</v>
      </c>
      <c r="C10" s="2" t="s">
        <v>52</v>
      </c>
      <c r="D10" s="2">
        <v>8</v>
      </c>
      <c r="F10" s="2">
        <v>20</v>
      </c>
      <c r="G10" s="2" t="s">
        <v>51</v>
      </c>
      <c r="H10" s="2">
        <v>7.4</v>
      </c>
      <c r="I10" s="15"/>
      <c r="J10" s="138" t="s">
        <v>57</v>
      </c>
      <c r="K10" s="138"/>
      <c r="L10" s="17">
        <f>SUM(L5:L9)</f>
        <v>44.6</v>
      </c>
      <c r="N10" s="2">
        <v>56</v>
      </c>
      <c r="O10" s="2" t="s">
        <v>55</v>
      </c>
      <c r="P10" s="2">
        <v>7.5</v>
      </c>
      <c r="Q10" s="2"/>
      <c r="R10" s="2">
        <v>24</v>
      </c>
      <c r="S10" s="2" t="s">
        <v>53</v>
      </c>
      <c r="T10" s="2">
        <v>8.1</v>
      </c>
      <c r="U10" s="2"/>
      <c r="V10" s="2">
        <v>41</v>
      </c>
      <c r="W10" s="2" t="s">
        <v>52</v>
      </c>
      <c r="X10" s="2">
        <v>8.4</v>
      </c>
      <c r="Y10" s="2"/>
      <c r="Z10" s="2">
        <v>39</v>
      </c>
      <c r="AA10" s="2" t="s">
        <v>54</v>
      </c>
      <c r="AB10" s="2">
        <v>9.3000000000000007</v>
      </c>
    </row>
    <row r="11" spans="2:28" ht="26.25" thickBot="1" x14ac:dyDescent="0.3">
      <c r="B11" s="2">
        <v>3</v>
      </c>
      <c r="C11" s="2" t="s">
        <v>53</v>
      </c>
      <c r="D11" s="2">
        <v>8</v>
      </c>
      <c r="F11" s="2">
        <v>29</v>
      </c>
      <c r="G11" s="2" t="s">
        <v>51</v>
      </c>
      <c r="H11" s="2">
        <v>7.9</v>
      </c>
      <c r="I11" s="15"/>
      <c r="N11" s="2">
        <v>57</v>
      </c>
      <c r="O11" s="2" t="s">
        <v>55</v>
      </c>
      <c r="P11" s="2">
        <v>9.1</v>
      </c>
      <c r="Q11" s="2"/>
      <c r="R11" s="2">
        <v>25</v>
      </c>
      <c r="S11" s="2" t="s">
        <v>53</v>
      </c>
      <c r="T11" s="2">
        <v>8.5</v>
      </c>
      <c r="U11" s="2"/>
      <c r="V11" s="2">
        <v>63</v>
      </c>
      <c r="W11" s="2" t="s">
        <v>52</v>
      </c>
      <c r="X11" s="2">
        <v>7.7</v>
      </c>
      <c r="Y11" s="2"/>
      <c r="Z11" s="2">
        <v>40</v>
      </c>
      <c r="AA11" s="2" t="s">
        <v>54</v>
      </c>
      <c r="AB11" s="2">
        <v>8.9</v>
      </c>
    </row>
    <row r="12" spans="2:28" ht="26.25" thickBot="1" x14ac:dyDescent="0.3">
      <c r="B12" s="2">
        <v>4</v>
      </c>
      <c r="C12" s="2" t="s">
        <v>54</v>
      </c>
      <c r="D12" s="2">
        <v>7.4</v>
      </c>
      <c r="F12" s="2">
        <v>33</v>
      </c>
      <c r="G12" s="2" t="s">
        <v>51</v>
      </c>
      <c r="H12" s="2">
        <v>8.8000000000000007</v>
      </c>
      <c r="I12" s="15"/>
      <c r="N12" s="2">
        <v>73</v>
      </c>
      <c r="O12" s="2" t="s">
        <v>55</v>
      </c>
      <c r="P12" s="2">
        <v>8.6</v>
      </c>
      <c r="Q12" s="2"/>
      <c r="R12" s="2">
        <v>28</v>
      </c>
      <c r="S12" s="2" t="s">
        <v>53</v>
      </c>
      <c r="T12" s="2">
        <v>8.6</v>
      </c>
      <c r="U12" s="2"/>
      <c r="V12" s="2">
        <v>64</v>
      </c>
      <c r="W12" s="2" t="s">
        <v>52</v>
      </c>
      <c r="X12" s="2">
        <v>7.2</v>
      </c>
      <c r="Y12" s="2"/>
      <c r="Z12" s="2">
        <v>46</v>
      </c>
      <c r="AA12" s="2" t="s">
        <v>54</v>
      </c>
      <c r="AB12" s="2">
        <v>8.4</v>
      </c>
    </row>
    <row r="13" spans="2:28" ht="26.25" thickBot="1" x14ac:dyDescent="0.3">
      <c r="B13" s="2">
        <v>5</v>
      </c>
      <c r="C13" s="2" t="s">
        <v>53</v>
      </c>
      <c r="D13" s="2">
        <v>8.5</v>
      </c>
      <c r="F13" s="2">
        <v>36</v>
      </c>
      <c r="G13" s="2" t="s">
        <v>51</v>
      </c>
      <c r="H13" s="2">
        <v>8</v>
      </c>
      <c r="I13" s="15"/>
      <c r="N13" s="2">
        <v>75</v>
      </c>
      <c r="O13" s="2" t="s">
        <v>55</v>
      </c>
      <c r="P13" s="2">
        <v>8.5</v>
      </c>
      <c r="Q13" s="2"/>
      <c r="R13" s="2">
        <v>30</v>
      </c>
      <c r="S13" s="2" t="s">
        <v>53</v>
      </c>
      <c r="T13" s="2">
        <v>7.4</v>
      </c>
      <c r="U13" s="2"/>
      <c r="V13" s="2">
        <v>67</v>
      </c>
      <c r="W13" s="2" t="s">
        <v>52</v>
      </c>
      <c r="X13" s="2">
        <v>7.1</v>
      </c>
      <c r="Y13" s="2"/>
      <c r="Z13" s="2">
        <v>49</v>
      </c>
      <c r="AA13" s="2" t="s">
        <v>54</v>
      </c>
      <c r="AB13" s="2">
        <v>8.3000000000000007</v>
      </c>
    </row>
    <row r="14" spans="2:28" ht="26.25" thickBot="1" x14ac:dyDescent="0.3">
      <c r="B14" s="2">
        <v>6</v>
      </c>
      <c r="C14" s="2" t="s">
        <v>51</v>
      </c>
      <c r="D14" s="2">
        <v>7.9</v>
      </c>
      <c r="F14" s="2">
        <v>37</v>
      </c>
      <c r="G14" s="2" t="s">
        <v>51</v>
      </c>
      <c r="H14" s="2">
        <v>9.1999999999999993</v>
      </c>
      <c r="I14" s="15"/>
      <c r="N14" s="2">
        <v>90</v>
      </c>
      <c r="O14" s="2" t="s">
        <v>55</v>
      </c>
      <c r="P14" s="2">
        <v>9</v>
      </c>
      <c r="Q14" s="2"/>
      <c r="R14" s="2">
        <v>31</v>
      </c>
      <c r="S14" s="2" t="s">
        <v>53</v>
      </c>
      <c r="T14" s="2">
        <v>7.7</v>
      </c>
      <c r="U14" s="2"/>
      <c r="V14" s="2">
        <v>68</v>
      </c>
      <c r="W14" s="2" t="s">
        <v>52</v>
      </c>
      <c r="X14" s="2">
        <v>7.3</v>
      </c>
      <c r="Y14" s="2"/>
      <c r="Z14" s="2">
        <v>52</v>
      </c>
      <c r="AA14" s="2" t="s">
        <v>54</v>
      </c>
      <c r="AB14" s="2">
        <v>8.1</v>
      </c>
    </row>
    <row r="15" spans="2:28" ht="26.25" thickBot="1" x14ac:dyDescent="0.3">
      <c r="B15" s="2">
        <v>7</v>
      </c>
      <c r="C15" s="2" t="s">
        <v>51</v>
      </c>
      <c r="D15" s="2">
        <v>9.6</v>
      </c>
      <c r="F15" s="2">
        <v>38</v>
      </c>
      <c r="G15" s="2" t="s">
        <v>51</v>
      </c>
      <c r="H15" s="2">
        <v>9.4</v>
      </c>
      <c r="I15" s="15"/>
      <c r="N15" s="2">
        <v>99</v>
      </c>
      <c r="O15" s="2" t="s">
        <v>55</v>
      </c>
      <c r="P15" s="2">
        <v>8.6</v>
      </c>
      <c r="Q15" s="2"/>
      <c r="R15" s="2">
        <v>32</v>
      </c>
      <c r="S15" s="2" t="s">
        <v>53</v>
      </c>
      <c r="T15" s="2">
        <v>8.8000000000000007</v>
      </c>
      <c r="U15" s="2"/>
      <c r="V15" s="2">
        <v>69</v>
      </c>
      <c r="W15" s="2" t="s">
        <v>52</v>
      </c>
      <c r="X15" s="2">
        <v>8.1</v>
      </c>
      <c r="Y15" s="2"/>
      <c r="Z15" s="2">
        <v>53</v>
      </c>
      <c r="AA15" s="2" t="s">
        <v>54</v>
      </c>
      <c r="AB15" s="2">
        <v>7.9</v>
      </c>
    </row>
    <row r="16" spans="2:28" ht="26.25" thickBot="1" x14ac:dyDescent="0.3">
      <c r="B16" s="2">
        <v>8</v>
      </c>
      <c r="C16" s="2" t="s">
        <v>55</v>
      </c>
      <c r="D16" s="2">
        <v>7.6</v>
      </c>
      <c r="F16" s="2">
        <v>45</v>
      </c>
      <c r="G16" s="2" t="s">
        <v>51</v>
      </c>
      <c r="H16" s="2">
        <v>7.9</v>
      </c>
      <c r="I16" s="15"/>
      <c r="N16" s="138" t="s">
        <v>57</v>
      </c>
      <c r="O16" s="138"/>
      <c r="P16" s="17">
        <f>SUM(P5:P15)</f>
        <v>92.399999999999991</v>
      </c>
      <c r="R16" s="2">
        <v>42</v>
      </c>
      <c r="S16" s="2" t="s">
        <v>53</v>
      </c>
      <c r="T16" s="2">
        <v>8.6999999999999993</v>
      </c>
      <c r="U16" s="2"/>
      <c r="V16" s="2">
        <v>91</v>
      </c>
      <c r="W16" s="2" t="s">
        <v>52</v>
      </c>
      <c r="X16" s="2">
        <v>8.6999999999999993</v>
      </c>
      <c r="Y16" s="2"/>
      <c r="Z16" s="2">
        <v>59</v>
      </c>
      <c r="AA16" s="2" t="s">
        <v>54</v>
      </c>
      <c r="AB16" s="2">
        <v>8.1</v>
      </c>
    </row>
    <row r="17" spans="2:28" ht="26.25" thickBot="1" x14ac:dyDescent="0.3">
      <c r="B17" s="2">
        <v>9</v>
      </c>
      <c r="C17" s="2" t="s">
        <v>53</v>
      </c>
      <c r="D17" s="2">
        <v>8.3000000000000007</v>
      </c>
      <c r="F17" s="2">
        <v>54</v>
      </c>
      <c r="G17" s="2" t="s">
        <v>51</v>
      </c>
      <c r="H17" s="2">
        <v>7.8</v>
      </c>
      <c r="I17" s="15"/>
      <c r="R17" s="2">
        <v>44</v>
      </c>
      <c r="S17" s="2" t="s">
        <v>53</v>
      </c>
      <c r="T17" s="2">
        <v>7.2</v>
      </c>
      <c r="U17" s="2"/>
      <c r="V17" s="2">
        <v>96</v>
      </c>
      <c r="W17" s="2" t="s">
        <v>52</v>
      </c>
      <c r="X17" s="2">
        <v>7.9</v>
      </c>
      <c r="Y17" s="2"/>
      <c r="Z17" s="2">
        <v>70</v>
      </c>
      <c r="AA17" s="2" t="s">
        <v>54</v>
      </c>
      <c r="AB17" s="2">
        <v>9.5</v>
      </c>
    </row>
    <row r="18" spans="2:28" ht="26.25" thickBot="1" x14ac:dyDescent="0.3">
      <c r="B18" s="2">
        <v>10</v>
      </c>
      <c r="C18" s="2" t="s">
        <v>52</v>
      </c>
      <c r="D18" s="2">
        <v>8.6</v>
      </c>
      <c r="F18" s="2">
        <v>55</v>
      </c>
      <c r="G18" s="2" t="s">
        <v>51</v>
      </c>
      <c r="H18" s="2">
        <v>7.2</v>
      </c>
      <c r="I18" s="15"/>
      <c r="R18" s="2">
        <v>48</v>
      </c>
      <c r="S18" s="2" t="s">
        <v>53</v>
      </c>
      <c r="T18" s="2">
        <v>7.4</v>
      </c>
      <c r="U18" s="15"/>
      <c r="V18" s="138" t="s">
        <v>57</v>
      </c>
      <c r="W18" s="138"/>
      <c r="X18" s="17">
        <f>SUM(X5:X17)</f>
        <v>106.6</v>
      </c>
      <c r="Z18" s="2">
        <v>78</v>
      </c>
      <c r="AA18" s="2" t="s">
        <v>54</v>
      </c>
      <c r="AB18" s="2">
        <v>9.3000000000000007</v>
      </c>
    </row>
    <row r="19" spans="2:28" ht="26.25" thickBot="1" x14ac:dyDescent="0.3">
      <c r="B19" s="2">
        <v>11</v>
      </c>
      <c r="C19" s="2" t="s">
        <v>56</v>
      </c>
      <c r="D19" s="2">
        <v>9.1</v>
      </c>
      <c r="F19" s="2">
        <v>60</v>
      </c>
      <c r="G19" s="2" t="s">
        <v>51</v>
      </c>
      <c r="H19" s="2">
        <v>7.7</v>
      </c>
      <c r="I19" s="15"/>
      <c r="R19" s="2">
        <v>50</v>
      </c>
      <c r="S19" s="2" t="s">
        <v>53</v>
      </c>
      <c r="T19" s="2">
        <v>9.1999999999999993</v>
      </c>
      <c r="U19" s="15"/>
      <c r="Z19" s="2">
        <v>79</v>
      </c>
      <c r="AA19" s="2" t="s">
        <v>54</v>
      </c>
      <c r="AB19" s="2">
        <v>8.9</v>
      </c>
    </row>
    <row r="20" spans="2:28" ht="26.25" thickBot="1" x14ac:dyDescent="0.3">
      <c r="B20" s="2">
        <v>12</v>
      </c>
      <c r="C20" s="2" t="s">
        <v>54</v>
      </c>
      <c r="D20" s="2">
        <v>9.1999999999999993</v>
      </c>
      <c r="F20" s="2">
        <v>71</v>
      </c>
      <c r="G20" s="2" t="s">
        <v>51</v>
      </c>
      <c r="H20" s="2">
        <v>8.5</v>
      </c>
      <c r="I20" s="15"/>
      <c r="R20" s="2">
        <v>51</v>
      </c>
      <c r="S20" s="2" t="s">
        <v>53</v>
      </c>
      <c r="T20" s="2">
        <v>8.6</v>
      </c>
      <c r="U20" s="15"/>
      <c r="Z20" s="2">
        <v>83</v>
      </c>
      <c r="AA20" s="2" t="s">
        <v>54</v>
      </c>
      <c r="AB20" s="2">
        <v>8.9</v>
      </c>
    </row>
    <row r="21" spans="2:28" ht="26.25" thickBot="1" x14ac:dyDescent="0.3">
      <c r="B21" s="2">
        <v>13</v>
      </c>
      <c r="C21" s="2" t="s">
        <v>51</v>
      </c>
      <c r="D21" s="2">
        <v>7.5</v>
      </c>
      <c r="F21" s="2">
        <v>80</v>
      </c>
      <c r="G21" s="2" t="s">
        <v>51</v>
      </c>
      <c r="H21" s="2">
        <v>7.8</v>
      </c>
      <c r="I21" s="15"/>
      <c r="R21" s="2">
        <v>58</v>
      </c>
      <c r="S21" s="2" t="s">
        <v>53</v>
      </c>
      <c r="T21" s="2">
        <v>9.1999999999999993</v>
      </c>
      <c r="U21" s="15"/>
      <c r="Z21" s="2">
        <v>84</v>
      </c>
      <c r="AA21" s="2" t="s">
        <v>54</v>
      </c>
      <c r="AB21" s="2">
        <v>10</v>
      </c>
    </row>
    <row r="22" spans="2:28" ht="26.25" thickBot="1" x14ac:dyDescent="0.3">
      <c r="B22" s="2">
        <v>14</v>
      </c>
      <c r="C22" s="2" t="s">
        <v>51</v>
      </c>
      <c r="D22" s="2">
        <v>8.8000000000000007</v>
      </c>
      <c r="F22" s="2">
        <v>81</v>
      </c>
      <c r="G22" s="2" t="s">
        <v>51</v>
      </c>
      <c r="H22" s="2">
        <v>8.9</v>
      </c>
      <c r="I22" s="15"/>
      <c r="R22" s="2">
        <v>61</v>
      </c>
      <c r="S22" s="2" t="s">
        <v>53</v>
      </c>
      <c r="T22" s="2">
        <v>9.6</v>
      </c>
      <c r="U22" s="15"/>
      <c r="Z22" s="2">
        <v>85</v>
      </c>
      <c r="AA22" s="2" t="s">
        <v>54</v>
      </c>
      <c r="AB22" s="2">
        <v>7.8</v>
      </c>
    </row>
    <row r="23" spans="2:28" ht="26.25" thickBot="1" x14ac:dyDescent="0.3">
      <c r="B23" s="2">
        <v>15</v>
      </c>
      <c r="C23" s="2" t="s">
        <v>52</v>
      </c>
      <c r="D23" s="2">
        <v>9.1</v>
      </c>
      <c r="F23" s="2">
        <v>88</v>
      </c>
      <c r="G23" s="2" t="s">
        <v>51</v>
      </c>
      <c r="H23" s="2">
        <v>9.1999999999999993</v>
      </c>
      <c r="I23" s="15"/>
      <c r="R23" s="2">
        <v>62</v>
      </c>
      <c r="S23" s="2" t="s">
        <v>53</v>
      </c>
      <c r="T23" s="2">
        <v>8.1</v>
      </c>
      <c r="U23" s="15"/>
      <c r="Z23" s="2">
        <v>94</v>
      </c>
      <c r="AA23" s="2" t="s">
        <v>54</v>
      </c>
      <c r="AB23" s="2">
        <v>8.8000000000000007</v>
      </c>
    </row>
    <row r="24" spans="2:28" ht="26.25" thickBot="1" x14ac:dyDescent="0.3">
      <c r="B24" s="2">
        <v>16</v>
      </c>
      <c r="C24" s="2" t="s">
        <v>52</v>
      </c>
      <c r="D24" s="2">
        <v>8.8000000000000007</v>
      </c>
      <c r="F24" s="2">
        <v>89</v>
      </c>
      <c r="G24" s="2" t="s">
        <v>51</v>
      </c>
      <c r="H24" s="2">
        <v>8.6</v>
      </c>
      <c r="I24" s="15"/>
      <c r="R24" s="2">
        <v>65</v>
      </c>
      <c r="S24" s="2" t="s">
        <v>53</v>
      </c>
      <c r="T24" s="2">
        <v>7.6</v>
      </c>
      <c r="U24" s="15"/>
      <c r="Z24" s="138" t="s">
        <v>57</v>
      </c>
      <c r="AA24" s="138"/>
      <c r="AB24" s="17">
        <f>SUM(AB5:AB23)</f>
        <v>164.00000000000003</v>
      </c>
    </row>
    <row r="25" spans="2:28" ht="26.25" thickBot="1" x14ac:dyDescent="0.3">
      <c r="B25" s="2">
        <v>17</v>
      </c>
      <c r="C25" s="2" t="s">
        <v>55</v>
      </c>
      <c r="D25" s="2">
        <v>8.1999999999999993</v>
      </c>
      <c r="F25" s="2">
        <v>98</v>
      </c>
      <c r="G25" s="2" t="s">
        <v>51</v>
      </c>
      <c r="H25" s="2">
        <v>8.1999999999999993</v>
      </c>
      <c r="I25" s="15"/>
      <c r="R25" s="2">
        <v>66</v>
      </c>
      <c r="S25" s="2" t="s">
        <v>53</v>
      </c>
      <c r="T25" s="2">
        <v>8</v>
      </c>
      <c r="U25" s="15"/>
    </row>
    <row r="26" spans="2:28" ht="15.75" thickBot="1" x14ac:dyDescent="0.3">
      <c r="B26" s="2">
        <v>18</v>
      </c>
      <c r="C26" s="2" t="s">
        <v>55</v>
      </c>
      <c r="D26" s="2">
        <v>8.1999999999999993</v>
      </c>
      <c r="F26" s="138" t="s">
        <v>57</v>
      </c>
      <c r="G26" s="138"/>
      <c r="H26" s="17">
        <f>SUM(H5:H25)</f>
        <v>174.9</v>
      </c>
      <c r="R26" s="2">
        <v>72</v>
      </c>
      <c r="S26" s="2" t="s">
        <v>53</v>
      </c>
      <c r="T26" s="2">
        <v>8.8000000000000007</v>
      </c>
      <c r="U26" s="15"/>
    </row>
    <row r="27" spans="2:28" ht="15.75" thickBot="1" x14ac:dyDescent="0.3">
      <c r="B27" s="2">
        <v>19</v>
      </c>
      <c r="C27" s="2" t="s">
        <v>53</v>
      </c>
      <c r="D27" s="2">
        <v>8.9</v>
      </c>
      <c r="F27" s="16"/>
      <c r="R27" s="2">
        <v>74</v>
      </c>
      <c r="S27" s="2" t="s">
        <v>53</v>
      </c>
      <c r="T27" s="2">
        <v>9.1999999999999993</v>
      </c>
      <c r="U27" s="15"/>
    </row>
    <row r="28" spans="2:28" ht="15.75" thickBot="1" x14ac:dyDescent="0.3">
      <c r="B28" s="2">
        <v>20</v>
      </c>
      <c r="C28" s="2" t="s">
        <v>51</v>
      </c>
      <c r="D28" s="2">
        <v>7.4</v>
      </c>
      <c r="R28" s="2">
        <v>77</v>
      </c>
      <c r="S28" s="2" t="s">
        <v>53</v>
      </c>
      <c r="T28" s="2">
        <v>9.6</v>
      </c>
      <c r="U28" s="15"/>
    </row>
    <row r="29" spans="2:28" ht="15.75" thickBot="1" x14ac:dyDescent="0.3">
      <c r="B29" s="2">
        <v>21</v>
      </c>
      <c r="C29" s="2" t="s">
        <v>53</v>
      </c>
      <c r="D29" s="2">
        <v>9.4</v>
      </c>
      <c r="R29" s="2">
        <v>82</v>
      </c>
      <c r="S29" s="2" t="s">
        <v>53</v>
      </c>
      <c r="T29" s="2">
        <v>8.1</v>
      </c>
      <c r="U29" s="15"/>
    </row>
    <row r="30" spans="2:28" ht="15.75" thickBot="1" x14ac:dyDescent="0.3">
      <c r="B30" s="2">
        <v>22</v>
      </c>
      <c r="C30" s="2" t="s">
        <v>54</v>
      </c>
      <c r="D30" s="2">
        <v>8.1</v>
      </c>
      <c r="R30" s="2">
        <v>86</v>
      </c>
      <c r="S30" s="2" t="s">
        <v>53</v>
      </c>
      <c r="T30" s="2">
        <v>9.1999999999999993</v>
      </c>
      <c r="U30" s="15"/>
    </row>
    <row r="31" spans="2:28" ht="15.75" thickBot="1" x14ac:dyDescent="0.3">
      <c r="B31" s="2">
        <v>23</v>
      </c>
      <c r="C31" s="2" t="s">
        <v>54</v>
      </c>
      <c r="D31" s="2">
        <v>9.1</v>
      </c>
      <c r="R31" s="2">
        <v>87</v>
      </c>
      <c r="S31" s="2" t="s">
        <v>53</v>
      </c>
      <c r="T31" s="2">
        <v>9.9</v>
      </c>
      <c r="U31" s="15"/>
    </row>
    <row r="32" spans="2:28" ht="15.75" thickBot="1" x14ac:dyDescent="0.3">
      <c r="B32" s="2">
        <v>24</v>
      </c>
      <c r="C32" s="2" t="s">
        <v>53</v>
      </c>
      <c r="D32" s="2">
        <v>8.1</v>
      </c>
      <c r="R32" s="2">
        <v>93</v>
      </c>
      <c r="S32" s="2" t="s">
        <v>53</v>
      </c>
      <c r="T32" s="2">
        <v>8.5</v>
      </c>
      <c r="U32" s="15"/>
    </row>
    <row r="33" spans="2:21" ht="15.75" thickBot="1" x14ac:dyDescent="0.3">
      <c r="B33" s="2">
        <v>25</v>
      </c>
      <c r="C33" s="2" t="s">
        <v>53</v>
      </c>
      <c r="D33" s="2">
        <v>8.5</v>
      </c>
      <c r="R33" s="2">
        <v>95</v>
      </c>
      <c r="S33" s="2" t="s">
        <v>53</v>
      </c>
      <c r="T33" s="2">
        <v>8.3000000000000007</v>
      </c>
      <c r="U33" s="15"/>
    </row>
    <row r="34" spans="2:21" ht="15.75" thickBot="1" x14ac:dyDescent="0.3">
      <c r="B34" s="2">
        <v>26</v>
      </c>
      <c r="C34" s="2" t="s">
        <v>54</v>
      </c>
      <c r="D34" s="2">
        <v>8</v>
      </c>
      <c r="R34" s="2">
        <v>97</v>
      </c>
      <c r="S34" s="2" t="s">
        <v>53</v>
      </c>
      <c r="T34" s="2">
        <v>10</v>
      </c>
      <c r="U34" s="15"/>
    </row>
    <row r="35" spans="2:21" ht="15.75" thickBot="1" x14ac:dyDescent="0.3">
      <c r="B35" s="2">
        <v>27</v>
      </c>
      <c r="C35" s="2" t="s">
        <v>52</v>
      </c>
      <c r="D35" s="2">
        <v>9.6999999999999993</v>
      </c>
      <c r="R35" s="2">
        <v>100</v>
      </c>
      <c r="S35" s="2" t="s">
        <v>53</v>
      </c>
      <c r="T35" s="2">
        <v>8.4</v>
      </c>
      <c r="U35" s="15"/>
    </row>
    <row r="36" spans="2:21" ht="15.75" thickBot="1" x14ac:dyDescent="0.3">
      <c r="B36" s="2">
        <v>28</v>
      </c>
      <c r="C36" s="2" t="s">
        <v>53</v>
      </c>
      <c r="D36" s="2">
        <v>8.6</v>
      </c>
      <c r="R36" s="138" t="s">
        <v>57</v>
      </c>
      <c r="S36" s="138"/>
      <c r="T36" s="17">
        <f>SUM(T5:T35)</f>
        <v>265.79999999999995</v>
      </c>
    </row>
    <row r="37" spans="2:21" ht="15.75" thickBot="1" x14ac:dyDescent="0.3">
      <c r="B37" s="2">
        <v>29</v>
      </c>
      <c r="C37" s="2" t="s">
        <v>51</v>
      </c>
      <c r="D37" s="2">
        <v>7.9</v>
      </c>
    </row>
    <row r="38" spans="2:21" ht="15.75" thickBot="1" x14ac:dyDescent="0.3">
      <c r="B38" s="2">
        <v>30</v>
      </c>
      <c r="C38" s="2" t="s">
        <v>53</v>
      </c>
      <c r="D38" s="2">
        <v>7.4</v>
      </c>
    </row>
    <row r="39" spans="2:21" ht="15.75" thickBot="1" x14ac:dyDescent="0.3">
      <c r="B39" s="2">
        <v>31</v>
      </c>
      <c r="C39" s="2" t="s">
        <v>53</v>
      </c>
      <c r="D39" s="2">
        <v>7.7</v>
      </c>
    </row>
    <row r="40" spans="2:21" ht="15.75" thickBot="1" x14ac:dyDescent="0.3">
      <c r="B40" s="2">
        <v>32</v>
      </c>
      <c r="C40" s="2" t="s">
        <v>53</v>
      </c>
      <c r="D40" s="2">
        <v>8.8000000000000007</v>
      </c>
    </row>
    <row r="41" spans="2:21" ht="15.75" thickBot="1" x14ac:dyDescent="0.3">
      <c r="B41" s="2">
        <v>33</v>
      </c>
      <c r="C41" s="2" t="s">
        <v>51</v>
      </c>
      <c r="D41" s="2">
        <v>8.8000000000000007</v>
      </c>
    </row>
    <row r="42" spans="2:21" ht="15.75" thickBot="1" x14ac:dyDescent="0.3">
      <c r="B42" s="2">
        <v>34</v>
      </c>
      <c r="C42" s="2" t="s">
        <v>56</v>
      </c>
      <c r="D42" s="2">
        <v>8.1999999999999993</v>
      </c>
    </row>
    <row r="43" spans="2:21" ht="15.75" thickBot="1" x14ac:dyDescent="0.3">
      <c r="B43" s="2">
        <v>35</v>
      </c>
      <c r="C43" s="2" t="s">
        <v>56</v>
      </c>
      <c r="D43" s="2">
        <v>9.6</v>
      </c>
      <c r="G43" t="s">
        <v>188</v>
      </c>
      <c r="H43" s="166">
        <f>AVERAGE(D9:D108)</f>
        <v>8.4829999999999988</v>
      </c>
    </row>
    <row r="44" spans="2:21" ht="15.75" thickBot="1" x14ac:dyDescent="0.3">
      <c r="B44" s="2">
        <v>36</v>
      </c>
      <c r="C44" s="2" t="s">
        <v>51</v>
      </c>
      <c r="D44" s="2">
        <v>8</v>
      </c>
    </row>
    <row r="45" spans="2:21" ht="15.75" thickBot="1" x14ac:dyDescent="0.3">
      <c r="B45" s="2">
        <v>37</v>
      </c>
      <c r="C45" s="2" t="s">
        <v>51</v>
      </c>
      <c r="D45" s="2">
        <v>9.1999999999999993</v>
      </c>
    </row>
    <row r="46" spans="2:21" ht="15.75" thickBot="1" x14ac:dyDescent="0.3">
      <c r="B46" s="2">
        <v>38</v>
      </c>
      <c r="C46" s="2" t="s">
        <v>51</v>
      </c>
      <c r="D46" s="2">
        <v>9.4</v>
      </c>
    </row>
    <row r="47" spans="2:21" ht="15.75" thickBot="1" x14ac:dyDescent="0.3">
      <c r="B47" s="2">
        <v>39</v>
      </c>
      <c r="C47" s="2" t="s">
        <v>54</v>
      </c>
      <c r="D47" s="2">
        <v>9.3000000000000007</v>
      </c>
    </row>
    <row r="48" spans="2:21" ht="15.75" thickBot="1" x14ac:dyDescent="0.3">
      <c r="B48" s="2">
        <v>40</v>
      </c>
      <c r="C48" s="2" t="s">
        <v>54</v>
      </c>
      <c r="D48" s="2">
        <v>8.9</v>
      </c>
    </row>
    <row r="49" spans="2:17" ht="15.75" thickBot="1" x14ac:dyDescent="0.3">
      <c r="B49" s="2">
        <v>41</v>
      </c>
      <c r="C49" s="2" t="s">
        <v>52</v>
      </c>
      <c r="D49" s="2">
        <v>8.4</v>
      </c>
    </row>
    <row r="50" spans="2:17" ht="15.75" thickBot="1" x14ac:dyDescent="0.3">
      <c r="B50" s="2">
        <v>42</v>
      </c>
      <c r="C50" s="2" t="s">
        <v>53</v>
      </c>
      <c r="D50" s="2">
        <v>8.6999999999999993</v>
      </c>
    </row>
    <row r="51" spans="2:17" ht="15.75" thickBot="1" x14ac:dyDescent="0.3">
      <c r="B51" s="2">
        <v>43</v>
      </c>
      <c r="C51" s="2" t="s">
        <v>55</v>
      </c>
      <c r="D51" s="2">
        <v>8.4</v>
      </c>
    </row>
    <row r="52" spans="2:17" ht="15.75" thickBot="1" x14ac:dyDescent="0.3">
      <c r="B52" s="2">
        <v>44</v>
      </c>
      <c r="C52" s="2" t="s">
        <v>53</v>
      </c>
      <c r="D52" s="2">
        <v>7.2</v>
      </c>
    </row>
    <row r="53" spans="2:17" ht="15.75" thickBot="1" x14ac:dyDescent="0.3">
      <c r="B53" s="2">
        <v>45</v>
      </c>
      <c r="C53" s="2" t="s">
        <v>51</v>
      </c>
      <c r="D53" s="2">
        <v>7.9</v>
      </c>
    </row>
    <row r="54" spans="2:17" ht="15.75" thickBot="1" x14ac:dyDescent="0.3">
      <c r="B54" s="2">
        <v>46</v>
      </c>
      <c r="C54" s="2" t="s">
        <v>54</v>
      </c>
      <c r="D54" s="2">
        <v>8.4</v>
      </c>
    </row>
    <row r="55" spans="2:17" ht="15.75" thickBot="1" x14ac:dyDescent="0.3">
      <c r="B55" s="2">
        <v>47</v>
      </c>
      <c r="C55" s="2" t="s">
        <v>55</v>
      </c>
      <c r="D55" s="2">
        <v>8.6999999999999993</v>
      </c>
    </row>
    <row r="56" spans="2:17" ht="15.75" thickBot="1" x14ac:dyDescent="0.3">
      <c r="B56" s="2">
        <v>48</v>
      </c>
      <c r="C56" s="2" t="s">
        <v>53</v>
      </c>
      <c r="D56" s="2">
        <v>7.4</v>
      </c>
    </row>
    <row r="57" spans="2:17" ht="15.75" thickBot="1" x14ac:dyDescent="0.3">
      <c r="B57" s="2">
        <v>49</v>
      </c>
      <c r="C57" s="2" t="s">
        <v>54</v>
      </c>
      <c r="D57" s="2">
        <v>8.3000000000000007</v>
      </c>
    </row>
    <row r="58" spans="2:17" ht="15.75" thickBot="1" x14ac:dyDescent="0.3">
      <c r="B58" s="2">
        <v>50</v>
      </c>
      <c r="C58" s="2" t="s">
        <v>53</v>
      </c>
      <c r="D58" s="2">
        <v>9.1999999999999993</v>
      </c>
      <c r="L58" t="s">
        <v>53</v>
      </c>
      <c r="M58" t="s">
        <v>51</v>
      </c>
      <c r="N58" t="s">
        <v>54</v>
      </c>
      <c r="O58" t="str">
        <f>C49</f>
        <v>TEMPERATURA</v>
      </c>
      <c r="P58" t="str">
        <f>C51</f>
        <v>OUTROS</v>
      </c>
      <c r="Q58" t="s">
        <v>61</v>
      </c>
    </row>
    <row r="59" spans="2:17" ht="15.75" thickBot="1" x14ac:dyDescent="0.3">
      <c r="B59" s="2">
        <v>51</v>
      </c>
      <c r="C59" s="2" t="s">
        <v>53</v>
      </c>
      <c r="D59" s="2">
        <v>8.6</v>
      </c>
      <c r="J59" t="s">
        <v>58</v>
      </c>
    </row>
    <row r="60" spans="2:17" ht="15.75" thickBot="1" x14ac:dyDescent="0.3">
      <c r="B60" s="2">
        <v>52</v>
      </c>
      <c r="C60" s="2" t="s">
        <v>54</v>
      </c>
      <c r="D60" s="2">
        <v>8.1</v>
      </c>
      <c r="J60" t="s">
        <v>62</v>
      </c>
      <c r="L60">
        <f>T36</f>
        <v>265.79999999999995</v>
      </c>
      <c r="M60">
        <f>H26</f>
        <v>174.9</v>
      </c>
      <c r="N60">
        <f>AB24</f>
        <v>164.00000000000003</v>
      </c>
      <c r="O60">
        <f>X18</f>
        <v>106.6</v>
      </c>
      <c r="P60">
        <f>P16</f>
        <v>92.399999999999991</v>
      </c>
      <c r="Q60">
        <f>L10</f>
        <v>44.6</v>
      </c>
    </row>
    <row r="61" spans="2:17" ht="15.75" thickBot="1" x14ac:dyDescent="0.3">
      <c r="B61" s="2">
        <v>53</v>
      </c>
      <c r="C61" s="2" t="s">
        <v>54</v>
      </c>
      <c r="D61" s="2">
        <v>7.9</v>
      </c>
      <c r="J61" t="s">
        <v>59</v>
      </c>
      <c r="L61">
        <f>L60/100</f>
        <v>2.6579999999999995</v>
      </c>
      <c r="M61">
        <f t="shared" ref="M61:Q61" si="0">M60/100</f>
        <v>1.7490000000000001</v>
      </c>
      <c r="N61">
        <f t="shared" si="0"/>
        <v>1.6400000000000003</v>
      </c>
      <c r="O61">
        <f t="shared" si="0"/>
        <v>1.0659999999999998</v>
      </c>
      <c r="P61">
        <f t="shared" si="0"/>
        <v>0.92399999999999993</v>
      </c>
      <c r="Q61">
        <f t="shared" si="0"/>
        <v>0.44600000000000001</v>
      </c>
    </row>
    <row r="62" spans="2:17" ht="15.75" thickBot="1" x14ac:dyDescent="0.3">
      <c r="B62" s="2">
        <v>54</v>
      </c>
      <c r="C62" s="2" t="s">
        <v>51</v>
      </c>
      <c r="D62" s="2">
        <v>7.8</v>
      </c>
      <c r="J62" t="s">
        <v>60</v>
      </c>
      <c r="L62">
        <f>L61</f>
        <v>2.6579999999999995</v>
      </c>
      <c r="M62">
        <f>L62+M61</f>
        <v>4.407</v>
      </c>
      <c r="N62">
        <f>M62+N61</f>
        <v>6.0470000000000006</v>
      </c>
      <c r="O62">
        <f>N62+O61</f>
        <v>7.1130000000000004</v>
      </c>
      <c r="P62">
        <f>O62+P61</f>
        <v>8.0370000000000008</v>
      </c>
      <c r="Q62">
        <f>P62+Q61</f>
        <v>8.4830000000000005</v>
      </c>
    </row>
    <row r="63" spans="2:17" ht="15.75" thickBot="1" x14ac:dyDescent="0.3">
      <c r="B63" s="2">
        <v>55</v>
      </c>
      <c r="C63" s="2" t="s">
        <v>51</v>
      </c>
      <c r="D63" s="2">
        <v>7.2</v>
      </c>
    </row>
    <row r="64" spans="2:17" ht="15.75" thickBot="1" x14ac:dyDescent="0.3">
      <c r="B64" s="2">
        <v>56</v>
      </c>
      <c r="C64" s="2" t="s">
        <v>55</v>
      </c>
      <c r="D64" s="2">
        <v>7.5</v>
      </c>
    </row>
    <row r="65" spans="2:4" ht="15.75" thickBot="1" x14ac:dyDescent="0.3">
      <c r="B65" s="2">
        <v>57</v>
      </c>
      <c r="C65" s="2" t="s">
        <v>55</v>
      </c>
      <c r="D65" s="2">
        <v>9.1</v>
      </c>
    </row>
    <row r="66" spans="2:4" ht="15.75" thickBot="1" x14ac:dyDescent="0.3">
      <c r="B66" s="2">
        <v>58</v>
      </c>
      <c r="C66" s="2" t="s">
        <v>53</v>
      </c>
      <c r="D66" s="2">
        <v>9.1999999999999993</v>
      </c>
    </row>
    <row r="67" spans="2:4" ht="15.75" thickBot="1" x14ac:dyDescent="0.3">
      <c r="B67" s="2">
        <v>59</v>
      </c>
      <c r="C67" s="2" t="s">
        <v>54</v>
      </c>
      <c r="D67" s="2">
        <v>8.1</v>
      </c>
    </row>
    <row r="68" spans="2:4" ht="15.75" thickBot="1" x14ac:dyDescent="0.3">
      <c r="B68" s="2">
        <v>60</v>
      </c>
      <c r="C68" s="2" t="s">
        <v>51</v>
      </c>
      <c r="D68" s="2">
        <v>7.7</v>
      </c>
    </row>
    <row r="69" spans="2:4" ht="15.75" thickBot="1" x14ac:dyDescent="0.3">
      <c r="B69" s="2">
        <v>61</v>
      </c>
      <c r="C69" s="2" t="s">
        <v>53</v>
      </c>
      <c r="D69" s="2">
        <v>9.6</v>
      </c>
    </row>
    <row r="70" spans="2:4" ht="15.75" thickBot="1" x14ac:dyDescent="0.3">
      <c r="B70" s="2">
        <v>62</v>
      </c>
      <c r="C70" s="2" t="s">
        <v>53</v>
      </c>
      <c r="D70" s="2">
        <v>8.1</v>
      </c>
    </row>
    <row r="71" spans="2:4" ht="15.75" thickBot="1" x14ac:dyDescent="0.3">
      <c r="B71" s="2">
        <v>63</v>
      </c>
      <c r="C71" s="2" t="s">
        <v>52</v>
      </c>
      <c r="D71" s="2">
        <v>7.7</v>
      </c>
    </row>
    <row r="72" spans="2:4" ht="15.75" thickBot="1" x14ac:dyDescent="0.3">
      <c r="B72" s="2">
        <v>64</v>
      </c>
      <c r="C72" s="2" t="s">
        <v>52</v>
      </c>
      <c r="D72" s="2">
        <v>7.2</v>
      </c>
    </row>
    <row r="73" spans="2:4" ht="15.75" thickBot="1" x14ac:dyDescent="0.3">
      <c r="B73" s="2">
        <v>65</v>
      </c>
      <c r="C73" s="2" t="s">
        <v>53</v>
      </c>
      <c r="D73" s="2">
        <v>7.6</v>
      </c>
    </row>
    <row r="74" spans="2:4" ht="15.75" thickBot="1" x14ac:dyDescent="0.3">
      <c r="B74" s="2">
        <v>66</v>
      </c>
      <c r="C74" s="2" t="s">
        <v>53</v>
      </c>
      <c r="D74" s="2">
        <v>8</v>
      </c>
    </row>
    <row r="75" spans="2:4" ht="15.75" thickBot="1" x14ac:dyDescent="0.3">
      <c r="B75" s="2">
        <v>67</v>
      </c>
      <c r="C75" s="2" t="s">
        <v>52</v>
      </c>
      <c r="D75" s="2">
        <v>7.1</v>
      </c>
    </row>
    <row r="76" spans="2:4" ht="15.75" thickBot="1" x14ac:dyDescent="0.3">
      <c r="B76" s="2">
        <v>68</v>
      </c>
      <c r="C76" s="2" t="s">
        <v>52</v>
      </c>
      <c r="D76" s="2">
        <v>7.3</v>
      </c>
    </row>
    <row r="77" spans="2:4" ht="15.75" thickBot="1" x14ac:dyDescent="0.3">
      <c r="B77" s="2">
        <v>69</v>
      </c>
      <c r="C77" s="2" t="s">
        <v>52</v>
      </c>
      <c r="D77" s="2">
        <v>8.1</v>
      </c>
    </row>
    <row r="78" spans="2:4" ht="15.75" thickBot="1" x14ac:dyDescent="0.3">
      <c r="B78" s="2">
        <v>70</v>
      </c>
      <c r="C78" s="2" t="s">
        <v>54</v>
      </c>
      <c r="D78" s="2">
        <v>9.5</v>
      </c>
    </row>
    <row r="79" spans="2:4" ht="15.75" thickBot="1" x14ac:dyDescent="0.3">
      <c r="B79" s="2">
        <v>71</v>
      </c>
      <c r="C79" s="2" t="s">
        <v>51</v>
      </c>
      <c r="D79" s="2">
        <v>8.5</v>
      </c>
    </row>
    <row r="80" spans="2:4" ht="15.75" thickBot="1" x14ac:dyDescent="0.3">
      <c r="B80" s="2">
        <v>72</v>
      </c>
      <c r="C80" s="2" t="s">
        <v>53</v>
      </c>
      <c r="D80" s="2">
        <v>8.8000000000000007</v>
      </c>
    </row>
    <row r="81" spans="2:4" ht="15.75" thickBot="1" x14ac:dyDescent="0.3">
      <c r="B81" s="2">
        <v>73</v>
      </c>
      <c r="C81" s="2" t="s">
        <v>55</v>
      </c>
      <c r="D81" s="2">
        <v>8.6</v>
      </c>
    </row>
    <row r="82" spans="2:4" ht="15.75" thickBot="1" x14ac:dyDescent="0.3">
      <c r="B82" s="2">
        <v>74</v>
      </c>
      <c r="C82" s="2" t="s">
        <v>53</v>
      </c>
      <c r="D82" s="2">
        <v>9.1999999999999993</v>
      </c>
    </row>
    <row r="83" spans="2:4" ht="15.75" thickBot="1" x14ac:dyDescent="0.3">
      <c r="B83" s="2">
        <v>75</v>
      </c>
      <c r="C83" s="2" t="s">
        <v>55</v>
      </c>
      <c r="D83" s="2">
        <v>8.5</v>
      </c>
    </row>
    <row r="84" spans="2:4" ht="15.75" thickBot="1" x14ac:dyDescent="0.3">
      <c r="B84" s="2">
        <v>76</v>
      </c>
      <c r="C84" s="2" t="s">
        <v>56</v>
      </c>
      <c r="D84" s="2">
        <v>8.3000000000000007</v>
      </c>
    </row>
    <row r="85" spans="2:4" ht="15.75" thickBot="1" x14ac:dyDescent="0.3">
      <c r="B85" s="2">
        <v>77</v>
      </c>
      <c r="C85" s="2" t="s">
        <v>53</v>
      </c>
      <c r="D85" s="2">
        <v>9.6</v>
      </c>
    </row>
    <row r="86" spans="2:4" ht="15.75" thickBot="1" x14ac:dyDescent="0.3">
      <c r="B86" s="2">
        <v>78</v>
      </c>
      <c r="C86" s="2" t="s">
        <v>54</v>
      </c>
      <c r="D86" s="2">
        <v>9.3000000000000007</v>
      </c>
    </row>
    <row r="87" spans="2:4" ht="15.75" thickBot="1" x14ac:dyDescent="0.3">
      <c r="B87" s="2">
        <v>79</v>
      </c>
      <c r="C87" s="2" t="s">
        <v>54</v>
      </c>
      <c r="D87" s="2">
        <v>8.9</v>
      </c>
    </row>
    <row r="88" spans="2:4" ht="15.75" thickBot="1" x14ac:dyDescent="0.3">
      <c r="B88" s="2">
        <v>80</v>
      </c>
      <c r="C88" s="2" t="s">
        <v>51</v>
      </c>
      <c r="D88" s="2">
        <v>7.8</v>
      </c>
    </row>
    <row r="89" spans="2:4" ht="15.75" thickBot="1" x14ac:dyDescent="0.3">
      <c r="B89" s="2">
        <v>81</v>
      </c>
      <c r="C89" s="2" t="s">
        <v>51</v>
      </c>
      <c r="D89" s="2">
        <v>8.9</v>
      </c>
    </row>
    <row r="90" spans="2:4" ht="15.75" thickBot="1" x14ac:dyDescent="0.3">
      <c r="B90" s="2">
        <v>82</v>
      </c>
      <c r="C90" s="2" t="s">
        <v>53</v>
      </c>
      <c r="D90" s="2">
        <v>8.1</v>
      </c>
    </row>
    <row r="91" spans="2:4" ht="15.75" thickBot="1" x14ac:dyDescent="0.3">
      <c r="B91" s="2">
        <v>83</v>
      </c>
      <c r="C91" s="2" t="s">
        <v>54</v>
      </c>
      <c r="D91" s="2">
        <v>8.9</v>
      </c>
    </row>
    <row r="92" spans="2:4" ht="15.75" thickBot="1" x14ac:dyDescent="0.3">
      <c r="B92" s="2">
        <v>84</v>
      </c>
      <c r="C92" s="2" t="s">
        <v>54</v>
      </c>
      <c r="D92" s="2">
        <v>10</v>
      </c>
    </row>
    <row r="93" spans="2:4" ht="15.75" thickBot="1" x14ac:dyDescent="0.3">
      <c r="B93" s="2">
        <v>85</v>
      </c>
      <c r="C93" s="2" t="s">
        <v>54</v>
      </c>
      <c r="D93" s="2">
        <v>7.8</v>
      </c>
    </row>
    <row r="94" spans="2:4" ht="15.75" thickBot="1" x14ac:dyDescent="0.3">
      <c r="B94" s="2">
        <v>86</v>
      </c>
      <c r="C94" s="2" t="s">
        <v>53</v>
      </c>
      <c r="D94" s="2">
        <v>9.1999999999999993</v>
      </c>
    </row>
    <row r="95" spans="2:4" ht="15.75" thickBot="1" x14ac:dyDescent="0.3">
      <c r="B95" s="2">
        <v>87</v>
      </c>
      <c r="C95" s="2" t="s">
        <v>53</v>
      </c>
      <c r="D95" s="2">
        <v>9.9</v>
      </c>
    </row>
    <row r="96" spans="2:4" ht="15.75" thickBot="1" x14ac:dyDescent="0.3">
      <c r="B96" s="2">
        <v>88</v>
      </c>
      <c r="C96" s="2" t="s">
        <v>51</v>
      </c>
      <c r="D96" s="2">
        <v>9.1999999999999993</v>
      </c>
    </row>
    <row r="97" spans="2:4" ht="15.75" thickBot="1" x14ac:dyDescent="0.3">
      <c r="B97" s="2">
        <v>89</v>
      </c>
      <c r="C97" s="2" t="s">
        <v>51</v>
      </c>
      <c r="D97" s="2">
        <v>8.6</v>
      </c>
    </row>
    <row r="98" spans="2:4" ht="15.75" thickBot="1" x14ac:dyDescent="0.3">
      <c r="B98" s="2">
        <v>90</v>
      </c>
      <c r="C98" s="2" t="s">
        <v>55</v>
      </c>
      <c r="D98" s="2">
        <v>9</v>
      </c>
    </row>
    <row r="99" spans="2:4" ht="15.75" thickBot="1" x14ac:dyDescent="0.3">
      <c r="B99" s="2">
        <v>91</v>
      </c>
      <c r="C99" s="2" t="s">
        <v>52</v>
      </c>
      <c r="D99" s="2">
        <v>8.6999999999999993</v>
      </c>
    </row>
    <row r="100" spans="2:4" ht="15.75" thickBot="1" x14ac:dyDescent="0.3">
      <c r="B100" s="2">
        <v>92</v>
      </c>
      <c r="C100" s="2" t="s">
        <v>56</v>
      </c>
      <c r="D100" s="2">
        <v>9.4</v>
      </c>
    </row>
    <row r="101" spans="2:4" ht="15.75" thickBot="1" x14ac:dyDescent="0.3">
      <c r="B101" s="2">
        <v>93</v>
      </c>
      <c r="C101" s="2" t="s">
        <v>53</v>
      </c>
      <c r="D101" s="2">
        <v>8.5</v>
      </c>
    </row>
    <row r="102" spans="2:4" ht="15.75" thickBot="1" x14ac:dyDescent="0.3">
      <c r="B102" s="2">
        <v>94</v>
      </c>
      <c r="C102" s="2" t="s">
        <v>54</v>
      </c>
      <c r="D102" s="2">
        <v>8.8000000000000007</v>
      </c>
    </row>
    <row r="103" spans="2:4" ht="15.75" thickBot="1" x14ac:dyDescent="0.3">
      <c r="B103" s="2">
        <v>95</v>
      </c>
      <c r="C103" s="2" t="s">
        <v>53</v>
      </c>
      <c r="D103" s="2">
        <v>8.3000000000000007</v>
      </c>
    </row>
    <row r="104" spans="2:4" ht="15.75" thickBot="1" x14ac:dyDescent="0.3">
      <c r="B104" s="2">
        <v>96</v>
      </c>
      <c r="C104" s="2" t="s">
        <v>52</v>
      </c>
      <c r="D104" s="2">
        <v>7.9</v>
      </c>
    </row>
    <row r="105" spans="2:4" ht="15.75" thickBot="1" x14ac:dyDescent="0.3">
      <c r="B105" s="2">
        <v>97</v>
      </c>
      <c r="C105" s="2" t="s">
        <v>53</v>
      </c>
      <c r="D105" s="2">
        <v>10</v>
      </c>
    </row>
    <row r="106" spans="2:4" ht="15.75" thickBot="1" x14ac:dyDescent="0.3">
      <c r="B106" s="2">
        <v>98</v>
      </c>
      <c r="C106" s="2" t="s">
        <v>51</v>
      </c>
      <c r="D106" s="2">
        <v>8.1999999999999993</v>
      </c>
    </row>
    <row r="107" spans="2:4" ht="15.75" thickBot="1" x14ac:dyDescent="0.3">
      <c r="B107" s="2">
        <v>99</v>
      </c>
      <c r="C107" s="2" t="s">
        <v>55</v>
      </c>
      <c r="D107" s="2">
        <v>8.6</v>
      </c>
    </row>
    <row r="108" spans="2:4" ht="15.75" thickBot="1" x14ac:dyDescent="0.3">
      <c r="B108" s="2">
        <v>100</v>
      </c>
      <c r="C108" s="2" t="s">
        <v>53</v>
      </c>
      <c r="D108" s="2">
        <v>8.4</v>
      </c>
    </row>
    <row r="109" spans="2:4" ht="15.75" thickBot="1" x14ac:dyDescent="0.3">
      <c r="B109" s="14"/>
      <c r="C109" s="14"/>
      <c r="D109" s="14"/>
    </row>
    <row r="110" spans="2:4" ht="15.75" thickBot="1" x14ac:dyDescent="0.3">
      <c r="B110" s="14"/>
      <c r="C110" s="14"/>
      <c r="D110" s="14"/>
    </row>
    <row r="111" spans="2:4" ht="15.75" thickBot="1" x14ac:dyDescent="0.3">
      <c r="B111" s="14"/>
      <c r="C111" s="14"/>
      <c r="D111" s="14"/>
    </row>
    <row r="112" spans="2:4" ht="15.75" thickBot="1" x14ac:dyDescent="0.3">
      <c r="B112" s="14"/>
      <c r="C112" s="14"/>
      <c r="D112" s="14"/>
    </row>
    <row r="113" spans="2:4" ht="15.75" thickBot="1" x14ac:dyDescent="0.3">
      <c r="B113" s="14"/>
      <c r="C113" s="14"/>
      <c r="D113" s="14"/>
    </row>
    <row r="114" spans="2:4" ht="15.75" thickBot="1" x14ac:dyDescent="0.3">
      <c r="B114" s="14"/>
      <c r="C114" s="14"/>
      <c r="D114" s="14"/>
    </row>
    <row r="115" spans="2:4" ht="15.75" thickBot="1" x14ac:dyDescent="0.3">
      <c r="B115" s="14"/>
      <c r="C115" s="14"/>
      <c r="D115" s="14"/>
    </row>
    <row r="116" spans="2:4" ht="15.75" thickBot="1" x14ac:dyDescent="0.3">
      <c r="B116" s="14"/>
      <c r="C116" s="14"/>
      <c r="D116" s="14"/>
    </row>
    <row r="117" spans="2:4" ht="15.75" thickBot="1" x14ac:dyDescent="0.3">
      <c r="B117" s="14"/>
      <c r="C117" s="14"/>
      <c r="D117" s="14"/>
    </row>
    <row r="118" spans="2:4" ht="15.75" thickBot="1" x14ac:dyDescent="0.3">
      <c r="B118" s="14"/>
      <c r="C118" s="14"/>
      <c r="D118" s="14"/>
    </row>
    <row r="119" spans="2:4" ht="15.75" thickBot="1" x14ac:dyDescent="0.3">
      <c r="B119" s="14"/>
      <c r="C119" s="14"/>
      <c r="D119" s="14"/>
    </row>
    <row r="120" spans="2:4" ht="15.75" thickBot="1" x14ac:dyDescent="0.3">
      <c r="B120" s="14"/>
      <c r="C120" s="14"/>
      <c r="D120" s="14"/>
    </row>
    <row r="121" spans="2:4" ht="15.75" thickBot="1" x14ac:dyDescent="0.3">
      <c r="B121" s="14"/>
      <c r="C121" s="14"/>
      <c r="D121" s="14"/>
    </row>
    <row r="122" spans="2:4" ht="15.75" thickBot="1" x14ac:dyDescent="0.3">
      <c r="B122" s="14"/>
      <c r="C122" s="14"/>
      <c r="D122" s="14"/>
    </row>
    <row r="123" spans="2:4" ht="15.75" thickBot="1" x14ac:dyDescent="0.3">
      <c r="B123" s="14"/>
      <c r="C123" s="14"/>
      <c r="D123" s="14"/>
    </row>
    <row r="124" spans="2:4" ht="15.75" thickBot="1" x14ac:dyDescent="0.3">
      <c r="B124" s="14"/>
      <c r="C124" s="14"/>
      <c r="D124" s="14"/>
    </row>
    <row r="125" spans="2:4" ht="15.75" thickBot="1" x14ac:dyDescent="0.3">
      <c r="B125" s="14"/>
      <c r="C125" s="14"/>
      <c r="D125" s="14"/>
    </row>
    <row r="126" spans="2:4" ht="15.75" thickBot="1" x14ac:dyDescent="0.3">
      <c r="B126" s="14"/>
      <c r="C126" s="14"/>
      <c r="D126" s="14"/>
    </row>
    <row r="127" spans="2:4" ht="15.75" thickBot="1" x14ac:dyDescent="0.3">
      <c r="B127" s="14"/>
      <c r="C127" s="14"/>
      <c r="D127" s="14"/>
    </row>
    <row r="128" spans="2:4" ht="15.75" thickBot="1" x14ac:dyDescent="0.3">
      <c r="B128" s="14"/>
      <c r="C128" s="14"/>
      <c r="D128" s="14"/>
    </row>
    <row r="129" spans="2:4" ht="15.75" thickBot="1" x14ac:dyDescent="0.3">
      <c r="B129" s="14"/>
      <c r="C129" s="14"/>
      <c r="D129" s="14"/>
    </row>
    <row r="130" spans="2:4" ht="15.75" thickBot="1" x14ac:dyDescent="0.3">
      <c r="B130" s="14"/>
      <c r="C130" s="14"/>
      <c r="D130" s="14"/>
    </row>
    <row r="131" spans="2:4" ht="15.75" thickBot="1" x14ac:dyDescent="0.3">
      <c r="B131" s="14"/>
      <c r="C131" s="14"/>
      <c r="D131" s="14"/>
    </row>
    <row r="132" spans="2:4" ht="15.75" thickBot="1" x14ac:dyDescent="0.3">
      <c r="B132" s="14"/>
      <c r="C132" s="14"/>
      <c r="D132" s="14"/>
    </row>
    <row r="133" spans="2:4" ht="15.75" thickBot="1" x14ac:dyDescent="0.3">
      <c r="B133" s="14"/>
      <c r="C133" s="14"/>
      <c r="D133" s="14"/>
    </row>
    <row r="134" spans="2:4" ht="15.75" thickBot="1" x14ac:dyDescent="0.3">
      <c r="B134" s="14"/>
      <c r="C134" s="14"/>
      <c r="D134" s="14"/>
    </row>
    <row r="135" spans="2:4" ht="15.75" thickBot="1" x14ac:dyDescent="0.3">
      <c r="B135" s="14"/>
      <c r="C135" s="14"/>
      <c r="D135" s="14"/>
    </row>
    <row r="136" spans="2:4" ht="15.75" thickBot="1" x14ac:dyDescent="0.3">
      <c r="B136" s="14"/>
      <c r="C136" s="14"/>
      <c r="D136" s="14"/>
    </row>
    <row r="137" spans="2:4" ht="15.75" thickBot="1" x14ac:dyDescent="0.3">
      <c r="B137" s="14"/>
      <c r="C137" s="14"/>
      <c r="D137" s="14"/>
    </row>
  </sheetData>
  <autoFilter ref="B8:D108" xr:uid="{97A6FCED-495B-48FD-963F-75F37F79E5BA}"/>
  <mergeCells count="6">
    <mergeCell ref="Z24:AA24"/>
    <mergeCell ref="F26:G26"/>
    <mergeCell ref="J10:K10"/>
    <mergeCell ref="N16:O16"/>
    <mergeCell ref="R36:S36"/>
    <mergeCell ref="V18:W18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D0F69-BB78-4ED8-B2E4-8E5B9DDABB70}">
  <dimension ref="B3:J10"/>
  <sheetViews>
    <sheetView zoomScale="85" zoomScaleNormal="85" workbookViewId="0">
      <selection activeCell="K12" sqref="K12"/>
    </sheetView>
  </sheetViews>
  <sheetFormatPr defaultRowHeight="15" x14ac:dyDescent="0.25"/>
  <cols>
    <col min="2" max="2" width="18.42578125" bestFit="1" customWidth="1"/>
    <col min="3" max="3" width="29" bestFit="1" customWidth="1"/>
    <col min="5" max="5" width="14" bestFit="1" customWidth="1"/>
  </cols>
  <sheetData>
    <row r="3" spans="2:10" x14ac:dyDescent="0.25">
      <c r="B3" s="3" t="s">
        <v>41</v>
      </c>
      <c r="C3" t="s">
        <v>198</v>
      </c>
    </row>
    <row r="4" spans="2:10" x14ac:dyDescent="0.25">
      <c r="B4" s="13" t="s">
        <v>51</v>
      </c>
      <c r="C4" s="139">
        <v>21</v>
      </c>
      <c r="E4" s="13" t="s">
        <v>51</v>
      </c>
      <c r="F4" s="139">
        <v>21</v>
      </c>
      <c r="G4" s="163">
        <f>F4/$F$10</f>
        <v>0.21</v>
      </c>
      <c r="I4" t="s">
        <v>204</v>
      </c>
      <c r="J4" s="164">
        <f>G6+G8+G9</f>
        <v>0.43</v>
      </c>
    </row>
    <row r="5" spans="2:10" x14ac:dyDescent="0.25">
      <c r="B5" s="13" t="s">
        <v>56</v>
      </c>
      <c r="C5" s="139">
        <v>5</v>
      </c>
      <c r="E5" s="13" t="s">
        <v>56</v>
      </c>
      <c r="F5" s="139">
        <v>5</v>
      </c>
      <c r="G5" s="163">
        <f>F5/$F$10</f>
        <v>0.05</v>
      </c>
      <c r="I5" t="s">
        <v>205</v>
      </c>
      <c r="J5" s="165">
        <f>G7+G8</f>
        <v>0.44</v>
      </c>
    </row>
    <row r="6" spans="2:10" x14ac:dyDescent="0.25">
      <c r="B6" s="13" t="s">
        <v>55</v>
      </c>
      <c r="C6" s="139">
        <v>11</v>
      </c>
      <c r="E6" s="13" t="s">
        <v>55</v>
      </c>
      <c r="F6" s="139">
        <v>11</v>
      </c>
      <c r="G6" s="163">
        <f>F6/$F$10</f>
        <v>0.11</v>
      </c>
      <c r="I6" t="s">
        <v>206</v>
      </c>
      <c r="J6" s="164">
        <f>G4+G7</f>
        <v>0.52</v>
      </c>
    </row>
    <row r="7" spans="2:10" x14ac:dyDescent="0.25">
      <c r="B7" s="13" t="s">
        <v>53</v>
      </c>
      <c r="C7" s="139">
        <v>31</v>
      </c>
      <c r="E7" s="13" t="s">
        <v>53</v>
      </c>
      <c r="F7" s="139">
        <v>31</v>
      </c>
      <c r="G7" s="163">
        <f>F7/$F$10</f>
        <v>0.31</v>
      </c>
      <c r="I7" t="s">
        <v>207</v>
      </c>
      <c r="J7" s="164">
        <f>G5+G4</f>
        <v>0.26</v>
      </c>
    </row>
    <row r="8" spans="2:10" x14ac:dyDescent="0.25">
      <c r="B8" s="13" t="s">
        <v>52</v>
      </c>
      <c r="C8" s="139">
        <v>13</v>
      </c>
      <c r="E8" s="13" t="s">
        <v>52</v>
      </c>
      <c r="F8" s="139">
        <v>13</v>
      </c>
      <c r="G8" s="163">
        <f>F8/$F$10</f>
        <v>0.13</v>
      </c>
    </row>
    <row r="9" spans="2:10" x14ac:dyDescent="0.25">
      <c r="B9" s="13" t="s">
        <v>54</v>
      </c>
      <c r="C9" s="139">
        <v>19</v>
      </c>
      <c r="E9" s="13" t="s">
        <v>54</v>
      </c>
      <c r="F9" s="139">
        <v>19</v>
      </c>
      <c r="G9" s="163">
        <f>F9/$F$10</f>
        <v>0.19</v>
      </c>
    </row>
    <row r="10" spans="2:10" x14ac:dyDescent="0.25">
      <c r="B10" s="13" t="s">
        <v>42</v>
      </c>
      <c r="C10" s="139">
        <v>100</v>
      </c>
      <c r="F10">
        <f>SUM(F4:F9)</f>
        <v>100</v>
      </c>
      <c r="G10">
        <f>SUM(G4:G9)</f>
        <v>1</v>
      </c>
    </row>
  </sheetData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GABARITO</vt:lpstr>
      <vt:lpstr>DADOS 1</vt:lpstr>
      <vt:lpstr>1.c</vt:lpstr>
      <vt:lpstr>Part3</vt:lpstr>
      <vt:lpstr>PARTE 3</vt:lpstr>
      <vt:lpstr>PARTE 4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Gabryel Souza</dc:creator>
  <cp:lastModifiedBy>Gabryel Souza</cp:lastModifiedBy>
  <dcterms:created xsi:type="dcterms:W3CDTF">2025-10-12T18:40:08Z</dcterms:created>
  <dcterms:modified xsi:type="dcterms:W3CDTF">2025-11-02T23:25:52Z</dcterms:modified>
</cp:coreProperties>
</file>