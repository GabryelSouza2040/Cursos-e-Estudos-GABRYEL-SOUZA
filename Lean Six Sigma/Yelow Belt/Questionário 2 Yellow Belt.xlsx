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Yellow Belt LSS/"/>
    </mc:Choice>
  </mc:AlternateContent>
  <xr:revisionPtr revIDLastSave="726" documentId="11_AD4D361C20488DEA4E38A06164DF6D945BDEDD8F" xr6:coauthVersionLast="47" xr6:coauthVersionMax="47" xr10:uidLastSave="{85A52B69-3E47-4BA2-9CBA-98E1E9E6F375}"/>
  <bookViews>
    <workbookView xWindow="-120" yWindow="-120" windowWidth="29040" windowHeight="15720" tabRatio="683" xr2:uid="{00000000-000D-0000-FFFF-FFFF00000000}"/>
  </bookViews>
  <sheets>
    <sheet name="QUESTÕES" sheetId="2" r:id="rId1"/>
    <sheet name="Planilha2" sheetId="9" r:id="rId2"/>
    <sheet name="Fab de Sorvete - Vendas" sheetId="1" r:id="rId3"/>
    <sheet name="Fab de ... - Adoçante e Doçura" sheetId="5" r:id="rId4"/>
    <sheet name="Irmãos Tec. - Prazo e Entrega" sheetId="6" r:id="rId5"/>
    <sheet name="Irm. Tec. - NV Prazo de Entrega" sheetId="7" r:id="rId6"/>
  </sheets>
  <definedNames>
    <definedName name="_xlnm._FilterDatabase" localSheetId="2" hidden="1">'Fab de Sorvete - Vendas'!$B$2:$D$94</definedName>
    <definedName name="_xlchart.v1.0" hidden="1">Planilha2!$G$4:$G$18</definedName>
    <definedName name="_xlchart.v1.1" hidden="1">Planilha2!$H$3</definedName>
    <definedName name="_xlchart.v1.2" hidden="1">Planilha2!$H$4:$H$18</definedName>
    <definedName name="_xlchart.v1.3" hidden="1">Planilha2!$G$4:$G$18</definedName>
    <definedName name="_xlchart.v1.4" hidden="1">Planilha2!$H$3</definedName>
    <definedName name="_xlchart.v1.5" hidden="1">Planilha2!$H$4:$H$18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6" l="1"/>
  <c r="D31" i="5"/>
  <c r="D32" i="5"/>
  <c r="O17" i="9"/>
  <c r="G23" i="6"/>
  <c r="E24" i="6"/>
  <c r="E23" i="6"/>
  <c r="B32" i="5"/>
  <c r="B31" i="5"/>
  <c r="E13" i="5"/>
  <c r="B13" i="5"/>
  <c r="B26" i="5"/>
  <c r="C26" i="5"/>
  <c r="F13" i="5"/>
  <c r="C13" i="5"/>
</calcChain>
</file>

<file path=xl/sharedStrings.xml><?xml version="1.0" encoding="utf-8"?>
<sst xmlns="http://schemas.openxmlformats.org/spreadsheetml/2006/main" count="314" uniqueCount="170">
  <si>
    <t>Número da Venda</t>
  </si>
  <si>
    <t>Quantidade</t>
  </si>
  <si>
    <t>Sabor</t>
  </si>
  <si>
    <t>CHOCOLATE</t>
  </si>
  <si>
    <t>FLOCOS</t>
  </si>
  <si>
    <t>COCO</t>
  </si>
  <si>
    <t>NAPOLITANO</t>
  </si>
  <si>
    <t>CREME</t>
  </si>
  <si>
    <t>LIMÃO</t>
  </si>
  <si>
    <t>DOCE DE LEITE</t>
  </si>
  <si>
    <t>MORANGO</t>
  </si>
  <si>
    <t>PISTACHE</t>
  </si>
  <si>
    <t>ESPECIAL</t>
  </si>
  <si>
    <t>MESCLADO</t>
  </si>
  <si>
    <t>PASSAS</t>
  </si>
  <si>
    <t>BRIGADEIRO</t>
  </si>
  <si>
    <t>TROPICAL</t>
  </si>
  <si>
    <t>BAUNILHA</t>
  </si>
  <si>
    <t>Histograma com três centralidades.</t>
  </si>
  <si>
    <t>Efeito de sazonalidade.</t>
  </si>
  <si>
    <t>Efeito de Pareto.</t>
  </si>
  <si>
    <t>Correlação fraca.</t>
  </si>
  <si>
    <t>Renata criou uma série de gráficos e observou algo interessante. O quê foi descoberto?*</t>
  </si>
  <si>
    <t>LINK</t>
  </si>
  <si>
    <t>Doçura</t>
  </si>
  <si>
    <t>Número da Entrega</t>
  </si>
  <si>
    <t>Tempo Levado (dias)</t>
  </si>
  <si>
    <t>Estudo da Fábrica de Sorvetes - Parte 1</t>
  </si>
  <si>
    <t>Renata trabalha como analista da qualidade em uma fábrica de sorvetes, pertencente a uma grande multinacional. Recentemente, ela recebeu um relatório do time comercial, com todas as vendas da última semana. Assim, ela ficou responsável por tratar os dados e chegar às conclusões pertinentes.</t>
  </si>
  <si>
    <t>A planilha pode ser encontrada em: Fábrica de Sorvete - Vendas</t>
  </si>
  <si>
    <t>Atenção: a permissão da planilha é de visualização. Você pode baixá-la ou copiar os dados para uma outra planilha para fazer as alterações desejadas.</t>
  </si>
  <si>
    <t>Soma de Quantidade</t>
  </si>
  <si>
    <t>Rótulos de Linha</t>
  </si>
  <si>
    <t>Total Geral</t>
  </si>
  <si>
    <t>Renata também achou interessante entender quais eram os sabores mais populares. Assim, qual foi o terceiro sabor mais vendido?*</t>
  </si>
  <si>
    <t>Baunilha</t>
  </si>
  <si>
    <t>Brigadeiro</t>
  </si>
  <si>
    <t>Chocolate</t>
  </si>
  <si>
    <t>Coco</t>
  </si>
  <si>
    <t>Creme</t>
  </si>
  <si>
    <t>Doce de Leite</t>
  </si>
  <si>
    <t>Especial</t>
  </si>
  <si>
    <t>Flocos</t>
  </si>
  <si>
    <t>Limão</t>
  </si>
  <si>
    <t>Mesclado</t>
  </si>
  <si>
    <t>Morango</t>
  </si>
  <si>
    <t>Napolitano</t>
  </si>
  <si>
    <t>Passas</t>
  </si>
  <si>
    <t>Pistache</t>
  </si>
  <si>
    <t>Tropical</t>
  </si>
  <si>
    <t>x</t>
  </si>
  <si>
    <t>Outra necessidade era identificar a maior venda total de 1 (um) dia. Qual foi ela?*</t>
  </si>
  <si>
    <t>Venda nº 05.</t>
  </si>
  <si>
    <t>Venda nº 12.</t>
  </si>
  <si>
    <t>Venda nº 15.</t>
  </si>
  <si>
    <t>Venda nº 18.</t>
  </si>
  <si>
    <t>Venda nº 23.</t>
  </si>
  <si>
    <t>X</t>
  </si>
  <si>
    <t>Na planilha consta 200 qtdes</t>
  </si>
  <si>
    <t>O sabor do sorvete é que tipo de variável?*</t>
  </si>
  <si>
    <t>Variável categórica.</t>
  </si>
  <si>
    <t>Variável numérica.</t>
  </si>
  <si>
    <t>Variável discreta.</t>
  </si>
  <si>
    <t>Não é uma variável.</t>
  </si>
  <si>
    <t>Considerei tendo em vista que o enunciado fala sabor de sorvete e não especifica um sabor.</t>
  </si>
  <si>
    <t>Estudo da Fábrica de Sorvetes - Parte 2</t>
  </si>
  <si>
    <t>Histograma estratificado.</t>
  </si>
  <si>
    <t>Gráfico de Barras.</t>
  </si>
  <si>
    <t>Gráfico de Dispersão.</t>
  </si>
  <si>
    <t>Regressão Logística.</t>
  </si>
  <si>
    <r>
      <t>Renata era também responsável por fazer outras análises. Por exemplo, ela precisava</t>
    </r>
    <r>
      <rPr>
        <b/>
        <sz val="11"/>
        <color theme="1"/>
        <rFont val="Calibri"/>
        <family val="2"/>
        <scheme val="minor"/>
      </rPr>
      <t xml:space="preserve"> relacionar o número de vendedores com os lucros da fábrica</t>
    </r>
    <r>
      <rPr>
        <sz val="11"/>
        <color theme="1"/>
        <rFont val="Calibri"/>
        <family val="2"/>
        <scheme val="minor"/>
      </rPr>
      <t>. Qual a técnica que ela deveria empregar?*</t>
    </r>
  </si>
  <si>
    <t>Um dos gráficos criados por Renata é apresentado abaixo. O que é possível identificar a partir dele?</t>
  </si>
  <si>
    <t>Correlação negativa fraca.</t>
  </si>
  <si>
    <t>Correlação negativa forte.</t>
  </si>
  <si>
    <t>Correlação positiva fraca.</t>
  </si>
  <si>
    <t>Correlação positiva forte.</t>
  </si>
  <si>
    <t>Não há correlação.</t>
  </si>
  <si>
    <t>Xilitol.</t>
  </si>
  <si>
    <t>Dextrose.</t>
  </si>
  <si>
    <t>Acessulfame.</t>
  </si>
  <si>
    <t>Nenhum difere dos demais.</t>
  </si>
  <si>
    <t>Com base no contexto, crie um diagrama de dispersão estratificado e responda: qual é o adoçante que traz um maior nível de doçura, quando comparado aos demais?</t>
  </si>
  <si>
    <t>Assim, as pessoas deveriam classificar o nível de doçura em uma escala de 0 a 10.</t>
  </si>
  <si>
    <t>A média das notas de doçura para cada concentração de adoçante foram compiladas para a planilha Fábrica de Sorvete - Adoçante e Doçura.</t>
  </si>
  <si>
    <t>O laboratório da fábrica estava testando diferentes tipos de adoçante: xilitol, dextrose e acessulfame. Para entender qual adoçava mais o sorvete, 10 amostras de sorvete para cada adoçante foram criadas, totalizando 30 amostras.</t>
  </si>
  <si>
    <r>
      <rPr>
        <b/>
        <sz val="10"/>
        <color rgb="FFFF0000"/>
        <rFont val="Arial"/>
        <family val="2"/>
      </rPr>
      <t>Xilitol</t>
    </r>
    <r>
      <rPr>
        <b/>
        <sz val="10"/>
        <color theme="1"/>
        <rFont val="Arial"/>
        <family val="2"/>
      </rPr>
      <t xml:space="preserve"> (g / 100 g sorvete)</t>
    </r>
  </si>
  <si>
    <r>
      <rPr>
        <b/>
        <sz val="10"/>
        <color rgb="FFFF0000"/>
        <rFont val="Arial"/>
        <family val="2"/>
      </rPr>
      <t>Acessulfame</t>
    </r>
    <r>
      <rPr>
        <b/>
        <sz val="10"/>
        <color theme="1"/>
        <rFont val="Arial"/>
        <family val="2"/>
      </rPr>
      <t xml:space="preserve"> (g / 100 g sorvete)</t>
    </r>
  </si>
  <si>
    <r>
      <rPr>
        <b/>
        <sz val="10"/>
        <color rgb="FFFF0000"/>
        <rFont val="Arial"/>
        <family val="2"/>
      </rPr>
      <t>Dextrose</t>
    </r>
    <r>
      <rPr>
        <b/>
        <sz val="10"/>
        <color theme="1"/>
        <rFont val="Arial"/>
        <family val="2"/>
      </rPr>
      <t xml:space="preserve"> (g / 100 g sorvete)</t>
    </r>
  </si>
  <si>
    <t>Detrose</t>
  </si>
  <si>
    <t>Xilitol</t>
  </si>
  <si>
    <t>Acessulfame</t>
  </si>
  <si>
    <t>grama fiza</t>
  </si>
  <si>
    <t>Custo em vezes</t>
  </si>
  <si>
    <t>Total constando a Doçura</t>
  </si>
  <si>
    <t>Estudo da Empresa Irmãos Tecnologia</t>
  </si>
  <si>
    <t>Leandro é um recém-contratado da empresa Irmãos Tecnologia. No momento, ele atua como analista da qualidade. Parte de seu trabalho envolve analisar uma série de dados e gráficos, e verificar se a empresa está atuando dentro dos padrões de qualidade desejados.</t>
  </si>
  <si>
    <t>Uma das primeiras tarefas de Leandro foi criar um formulário de satisfação, que seria entregue aos principais clientes. Assim, qual é o primeiro passo que Leandro deve tomar para criar tal formulário?</t>
  </si>
  <si>
    <t>Criar e validar o formulário de coleta de dados.</t>
  </si>
  <si>
    <t>Identificar qual a principal característica de interesse.</t>
  </si>
  <si>
    <t>Ligar para os clientes, e perguntar se eles se sentiriam confortáveis em responder a um questionário.</t>
  </si>
  <si>
    <t>Realizar rapidamente a coleta de dados, focando em projetos mais importantes</t>
  </si>
  <si>
    <t>  Ao realizar a pesquisa, vários dos clientes reclamaram do prazo de entrega, que muitas vezes não era respeitado. Ainda mais, o prazo de entrega prometido pela Irmãos Tecnologia era um dos mais atraentes no mercado (e um fator de venda importante!), e por isso entregas feitas com atraso manchavam a imagem da empresa.</t>
  </si>
  <si>
    <t>    Assim, decidiram medir o tempo levado para a entrega de 20 pedidos, para entender a situação atual. Os dados podem ser encontrados em: Irmãos Tecnologia - Prazo de Entrega.</t>
  </si>
  <si>
    <t>     Sabendo que a meta é entregar todos os pedidos em até 5 dias, o que é possível dizer sobre o prazo de entrega?</t>
  </si>
  <si>
    <t>    Atenção: a permissão da planilha é de visualização. Você pode baixá-la ou copiar os dados para uma outra planilha para fazer as alterações desejadas.</t>
  </si>
  <si>
    <t>Praticamente todas as entregas foram entregues no prazo, e a reclamação dos clientes não faz sentido.</t>
  </si>
  <si>
    <t>Algumas entregas realmente atrasaram, mas a grande maioria foi entregue no prazo.</t>
  </si>
  <si>
    <t>A maioria das entregas foi feita com atraso, sendo poucas dentro do prazo combinado.</t>
  </si>
  <si>
    <t>Mais de 90% das entregas foram concluídas com atraso, logo a empresa está com sérios problemas.</t>
  </si>
  <si>
    <t>Atrasados</t>
  </si>
  <si>
    <t>No Prazo</t>
  </si>
  <si>
    <t>%</t>
  </si>
  <si>
    <t>Youtube</t>
  </si>
  <si>
    <t>https://youtu.be/MZV8KvgCuR8</t>
  </si>
  <si>
    <t>Média de vendas dos 3 produtos mais vendidos (Chocolate, Creme e Napolitano):</t>
  </si>
  <si>
    <t>Pode descubrir olhando o Gráfico de pareto ou colocando as quantidades em ordem</t>
  </si>
  <si>
    <t>Obs:</t>
  </si>
  <si>
    <t>Errei</t>
  </si>
  <si>
    <t>375 sorvetes vendidos</t>
  </si>
  <si>
    <t>Correção:</t>
  </si>
  <si>
    <t>Acertei, porém eu fiz gráficos de dispersão separados o que dificultaria a leitura dos gráficos</t>
  </si>
  <si>
    <t>Obs.:</t>
  </si>
  <si>
    <t>Para um sorvete de café foi decidido que seriam empregados aproximadamente 3,5 g de adoçante por 100 g de sorvete. Como o sorvete de café deve ter um nível de doçura médio, qual é o melhor adoçante para sua composição?</t>
  </si>
  <si>
    <t>Eu descobri esse usando a Função MEDIA, porém deveria ter lido o grafico das 3 juntas</t>
  </si>
  <si>
    <t>Determinado sorvete precisa de um nível de doçura de pelo menos 3,5 na nota da escala.</t>
  </si>
  <si>
    <t>Sabendo que 1 grama do adoçante dextrose custa 1,5 vezes o preço de 1 grama do adoçante xilitol, e que 1 grama do adoçante acessulfame custa 5 vezes o preço de 1 grama do adoçante xilitol, qual é o melhor adoçante para esse sorvete?</t>
  </si>
  <si>
    <t>Considere também que os adoçantes dextrose e acessulfame precisam de uma concentração mínima de 1g/100g de sorvete para começar a fazer efeito.</t>
  </si>
  <si>
    <t>Total Preço por g</t>
  </si>
  <si>
    <t>Com base no que foi descoberto na questão anterior, qual seria uma ação adequada a ser tomada?*</t>
  </si>
  <si>
    <t>Não mais comunicar o prazo de entrega em 5 dias, e sim 10 dias, como a competição faz.</t>
  </si>
  <si>
    <t>Desqualificar as reclamações dos clientes, já que elas não fazem sentido com os dados analisados.</t>
  </si>
  <si>
    <t>Enviar brindes para os clientes quando ocorrerem atrasos, assim a imagem da marca não será manchada.</t>
  </si>
  <si>
    <t>Contratar mais entregadores, para que a mercadoria não fique parada esperando distribuidores disponíveis.</t>
  </si>
  <si>
    <t>Ações foram tomadas, e todo o processo que envolvia a entrega das mercadorias foi alterado. Assim, para novas 20 entregas foi anotado o tempo levado para se entregar o produto. O que é possível concluir?</t>
  </si>
  <si>
    <t>Não há dados suficientes para se chegar a uma conclusão.</t>
  </si>
  <si>
    <t>O tempo de entrega é praticamente o mesmo, antes e após as mudanças.</t>
  </si>
  <si>
    <t>As mudanças geraram uma pioria no processo, aumentando o tempo de entrega.</t>
  </si>
  <si>
    <t>As mudanças geraram uma melhoria no processo, diminuindo o tempo de entrega. Agora, a maioria das entregas era feita no prazo estabelecido.</t>
  </si>
  <si>
    <t>As mudanças geraram uma melhoria no processo, diminuindo o tempo de entrega. Agora, todas as entregas eram feitas no prazo estabelecido.</t>
  </si>
  <si>
    <t>Os dados podem ser encontrados em: Irmãos Tecnologia - Novo Prazo de Entrega.</t>
  </si>
  <si>
    <t>No meio das atividades, Leandro quase se esqueceu de analisar o histograma apresentado abaixo, do número de reclamações por trimestre. O que ele concluiu com base no histograma?*</t>
  </si>
  <si>
    <t>O histograma possui apenas uma centralidade, em 46,0.</t>
  </si>
  <si>
    <t>O histograma possui apenas uma centralidade, em 61,0.</t>
  </si>
  <si>
    <t>O histograma não pode ter sua centralidade analisada, pelo tipo de distribuição.</t>
  </si>
  <si>
    <t>O histograma possui duas centralidades, uma em 30,0 e outra em 61,0.</t>
  </si>
  <si>
    <t>Leandro pensou também em separar as reclamações do gráfico acima pelos maiores fornecedores e clientes avulsos. Esse plano:*</t>
  </si>
  <si>
    <t>irá criar um histograma estratificado, facilitando compreender quais são os clientes que mais têm problemas com os produtos.</t>
  </si>
  <si>
    <t>irá criar um gráfico de barras, sem nenhuma vantagem para a visualização.</t>
  </si>
  <si>
    <t>irá resultar em um gráfico de Pareto, que pode ser transformado em um gráfico de barras acumulado, posteriormente.</t>
  </si>
  <si>
    <r>
      <t>irá resultar num histograma estratificado, mas que</t>
    </r>
    <r>
      <rPr>
        <b/>
        <sz val="11"/>
        <color theme="1"/>
        <rFont val="Calibri"/>
        <family val="2"/>
        <scheme val="minor"/>
      </rPr>
      <t xml:space="preserve"> não irá fornecer nenhuma informação adicional</t>
    </r>
    <r>
      <rPr>
        <sz val="11"/>
        <color theme="1"/>
        <rFont val="Calibri"/>
        <family val="2"/>
        <scheme val="minor"/>
      </rPr>
      <t>, quando comparado ao histograma já existente.</t>
    </r>
  </si>
  <si>
    <t>Leandro estava em uma reunião com seus supervisores, e eles comentaram que a velocidade da entrega é influenciada pelo Efeito de Pareto, enquanto que as vendas, não são. Assim pediram para Leandro dar a sua visão sobre o assunto, ele respondeu prontamente que:*</t>
  </si>
  <si>
    <t>O Efeito de Pareto não passa de uma misconcepção, e que os supervisores deveriam se informar melhor.</t>
  </si>
  <si>
    <t>É interessante focar os esforços para aumentar a velocidade de entrega em todas as etapas do processo.</t>
  </si>
  <si>
    <t>Não faz sentido fazer propagandas genéricas para a empresa, e eles deveriam focar o marketing em apenas um ou dois produtos, pois assim os resultados seriam melhores.</t>
  </si>
  <si>
    <t>A abordagem para melhorar cada um desses processos deve ser diferente, e para a velocidade de entrega é interessante focar nas causas principais.</t>
  </si>
  <si>
    <t>Leandro criou o gráfico abaixo, que expressa o investimento total da empresa em marketing para o semestre e o número de vendas médio por mês daquele semestre. Assim, é possível verificar que:</t>
  </si>
  <si>
    <t>Quanto mais a empresa investe em marketing, mais ela vende (correlação positiva).</t>
  </si>
  <si>
    <t>Quanto menos a empresa investe em marketing, mais ela vende (correlação positiva).</t>
  </si>
  <si>
    <t>Quanto mais a empresa investe em marketing, mais ela vende (correlação negativa).</t>
  </si>
  <si>
    <t>Quanto menos a empresa investe em marketing, mais ela vende (correlação negativa).</t>
  </si>
  <si>
    <t>O gráfico acima apresenta uma correlação:*</t>
  </si>
  <si>
    <t>Fraca.</t>
  </si>
  <si>
    <t>Forte.</t>
  </si>
  <si>
    <t>Nula.</t>
  </si>
  <si>
    <t>Dupla.</t>
  </si>
  <si>
    <t>Há correlação positiva forte.</t>
  </si>
  <si>
    <t>Há correlação positiva fraca.</t>
  </si>
  <si>
    <t>Há correlação negativa fraca.</t>
  </si>
  <si>
    <t>Há correlação negativa forte.</t>
  </si>
  <si>
    <r>
      <t xml:space="preserve">Finalmente, Leandro se preocupou em ver a </t>
    </r>
    <r>
      <rPr>
        <b/>
        <sz val="11"/>
        <color theme="1"/>
        <rFont val="Calibri"/>
        <family val="2"/>
        <scheme val="minor"/>
      </rPr>
      <t>relação entre o tempo de almoço e o número de cópias feitas na impressora</t>
    </r>
    <r>
      <rPr>
        <sz val="11"/>
        <color theme="1"/>
        <rFont val="Calibri"/>
        <family val="2"/>
        <scheme val="minor"/>
      </rPr>
      <t>. Criando um gráfico de dispersão, ele verificou que uma variável não depende da outra. Isso significa que:*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</si>
</sst>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1" fillId="0" borderId="9" applyNumberFormat="0" applyFill="0" applyAlignment="0" applyProtection="0"/>
  </cellStyleXfs>
  <cellXfs count="70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0" xfId="0" applyFont="1"/>
    <xf numFmtId="0" fontId="4" fillId="0" borderId="0" xfId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3" borderId="10" xfId="0" applyFont="1" applyFill="1" applyBorder="1"/>
    <xf numFmtId="0" fontId="1" fillId="0" borderId="9" xfId="3" applyAlignment="1">
      <alignment horizontal="center" vertical="top" wrapText="1"/>
    </xf>
    <xf numFmtId="9" fontId="9" fillId="0" borderId="11" xfId="2" applyFont="1" applyBorder="1" applyAlignment="1">
      <alignment horizontal="center" vertical="center"/>
    </xf>
    <xf numFmtId="9" fontId="9" fillId="0" borderId="12" xfId="2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NumberFormat="1"/>
    <xf numFmtId="0" fontId="1" fillId="0" borderId="0" xfId="0" applyNumberFormat="1" applyFont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6" borderId="0" xfId="0" applyFill="1"/>
    <xf numFmtId="0" fontId="8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" fillId="4" borderId="0" xfId="0" applyFont="1" applyFill="1"/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top" wrapText="1"/>
    </xf>
    <xf numFmtId="16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6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</cellXfs>
  <cellStyles count="4">
    <cellStyle name="Hiperlink" xfId="1" builtinId="8"/>
    <cellStyle name="Normal" xfId="0" builtinId="0"/>
    <cellStyle name="Porcentagem" xfId="2" builtinId="5"/>
    <cellStyle name="Total" xfId="3" builtinId="25"/>
  </cellStyles>
  <dxfs count="7">
    <dxf>
      <font>
        <color theme="9"/>
      </font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/>
        </patternFill>
      </fill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[Questionário 2 Yellow Belt.xlsx]Planilha2!Tabela dinâmica14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Planilha2!$A$4:$A$19</c:f>
              <c:strCache>
                <c:ptCount val="15"/>
                <c:pt idx="0">
                  <c:v>BAUNILHA</c:v>
                </c:pt>
                <c:pt idx="1">
                  <c:v>BRIGADEIRO</c:v>
                </c:pt>
                <c:pt idx="2">
                  <c:v>CHOCOLATE</c:v>
                </c:pt>
                <c:pt idx="3">
                  <c:v>COCO</c:v>
                </c:pt>
                <c:pt idx="4">
                  <c:v>CREME</c:v>
                </c:pt>
                <c:pt idx="5">
                  <c:v>DOCE DE LEITE</c:v>
                </c:pt>
                <c:pt idx="6">
                  <c:v>ESPECIAL</c:v>
                </c:pt>
                <c:pt idx="7">
                  <c:v>FLOCOS</c:v>
                </c:pt>
                <c:pt idx="8">
                  <c:v>LIMÃO</c:v>
                </c:pt>
                <c:pt idx="9">
                  <c:v>MESCLADO</c:v>
                </c:pt>
                <c:pt idx="10">
                  <c:v>MORANGO</c:v>
                </c:pt>
                <c:pt idx="11">
                  <c:v>NAPOLITANO</c:v>
                </c:pt>
                <c:pt idx="12">
                  <c:v>PASSAS</c:v>
                </c:pt>
                <c:pt idx="13">
                  <c:v>PISTACHE</c:v>
                </c:pt>
                <c:pt idx="14">
                  <c:v>TROPICAL</c:v>
                </c:pt>
              </c:strCache>
            </c:strRef>
          </c:cat>
          <c:val>
            <c:numRef>
              <c:f>Planilha2!$B$4:$B$19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920</c:v>
                </c:pt>
                <c:pt idx="3">
                  <c:v>50</c:v>
                </c:pt>
                <c:pt idx="4">
                  <c:v>560</c:v>
                </c:pt>
                <c:pt idx="5">
                  <c:v>50</c:v>
                </c:pt>
                <c:pt idx="6">
                  <c:v>25</c:v>
                </c:pt>
                <c:pt idx="7">
                  <c:v>60</c:v>
                </c:pt>
                <c:pt idx="8">
                  <c:v>55</c:v>
                </c:pt>
                <c:pt idx="9">
                  <c:v>25</c:v>
                </c:pt>
                <c:pt idx="10">
                  <c:v>55</c:v>
                </c:pt>
                <c:pt idx="11">
                  <c:v>520</c:v>
                </c:pt>
                <c:pt idx="12">
                  <c:v>45</c:v>
                </c:pt>
                <c:pt idx="13">
                  <c:v>40</c:v>
                </c:pt>
                <c:pt idx="1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B-4C7F-99F1-9AE7C0C3B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878448"/>
        <c:axId val="529877968"/>
      </c:barChart>
      <c:catAx>
        <c:axId val="52987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877968"/>
        <c:crosses val="autoZero"/>
        <c:auto val="1"/>
        <c:lblAlgn val="ctr"/>
        <c:lblOffset val="100"/>
        <c:noMultiLvlLbl val="0"/>
      </c:catAx>
      <c:valAx>
        <c:axId val="5298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87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atvd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3503915099093408E-2"/>
          <c:y val="0.16945203952992521"/>
          <c:w val="0.89678545607508575"/>
          <c:h val="0.70276840865773216"/>
        </c:manualLayout>
      </c:layout>
      <c:scatterChart>
        <c:scatterStyle val="lineMarker"/>
        <c:varyColors val="0"/>
        <c:ser>
          <c:idx val="0"/>
          <c:order val="0"/>
          <c:tx>
            <c:v>CORRELAÇÕES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'Fab de Sorvete - Vendas'!$D$2:$D$94</c:f>
              <c:strCache>
                <c:ptCount val="93"/>
                <c:pt idx="0">
                  <c:v>Sabor</c:v>
                </c:pt>
                <c:pt idx="1">
                  <c:v>CHOCOLATE</c:v>
                </c:pt>
                <c:pt idx="2">
                  <c:v>FLOCOS</c:v>
                </c:pt>
                <c:pt idx="3">
                  <c:v>COCO</c:v>
                </c:pt>
                <c:pt idx="4">
                  <c:v>NAPOLITANO</c:v>
                </c:pt>
                <c:pt idx="5">
                  <c:v>CREME</c:v>
                </c:pt>
                <c:pt idx="6">
                  <c:v>LIMÃO</c:v>
                </c:pt>
                <c:pt idx="7">
                  <c:v>DOCE DE LEITE</c:v>
                </c:pt>
                <c:pt idx="8">
                  <c:v>CHOCOLATE</c:v>
                </c:pt>
                <c:pt idx="9">
                  <c:v>NAPOLITANO</c:v>
                </c:pt>
                <c:pt idx="10">
                  <c:v>CHOCOLATE</c:v>
                </c:pt>
                <c:pt idx="11">
                  <c:v>NAPOLITANO</c:v>
                </c:pt>
                <c:pt idx="12">
                  <c:v>CREME</c:v>
                </c:pt>
                <c:pt idx="13">
                  <c:v>MORANGO</c:v>
                </c:pt>
                <c:pt idx="14">
                  <c:v>FLOCOS</c:v>
                </c:pt>
                <c:pt idx="15">
                  <c:v>PISTACHE</c:v>
                </c:pt>
                <c:pt idx="16">
                  <c:v>ESPECIAL</c:v>
                </c:pt>
                <c:pt idx="17">
                  <c:v>MESCLADO</c:v>
                </c:pt>
                <c:pt idx="18">
                  <c:v>LIMÃO</c:v>
                </c:pt>
                <c:pt idx="19">
                  <c:v>DOCE DE LEITE</c:v>
                </c:pt>
                <c:pt idx="20">
                  <c:v>PASSAS</c:v>
                </c:pt>
                <c:pt idx="21">
                  <c:v>BRIGADEIRO</c:v>
                </c:pt>
                <c:pt idx="22">
                  <c:v>COCO</c:v>
                </c:pt>
                <c:pt idx="23">
                  <c:v>TROPICAL</c:v>
                </c:pt>
                <c:pt idx="24">
                  <c:v>BAUNILHA</c:v>
                </c:pt>
                <c:pt idx="25">
                  <c:v>CHOCOLATE</c:v>
                </c:pt>
                <c:pt idx="26">
                  <c:v>MESCLADO</c:v>
                </c:pt>
                <c:pt idx="27">
                  <c:v>NAPOLITANO</c:v>
                </c:pt>
                <c:pt idx="28">
                  <c:v>CREME</c:v>
                </c:pt>
                <c:pt idx="29">
                  <c:v>CREME</c:v>
                </c:pt>
                <c:pt idx="30">
                  <c:v>CHOCOLATE</c:v>
                </c:pt>
                <c:pt idx="31">
                  <c:v>NAPOLITANO</c:v>
                </c:pt>
                <c:pt idx="32">
                  <c:v>COCO</c:v>
                </c:pt>
                <c:pt idx="33">
                  <c:v>PISTACHE</c:v>
                </c:pt>
                <c:pt idx="34">
                  <c:v>TROPICAL</c:v>
                </c:pt>
                <c:pt idx="35">
                  <c:v>BRIGADEIRO</c:v>
                </c:pt>
                <c:pt idx="36">
                  <c:v>NAPOLITANO</c:v>
                </c:pt>
                <c:pt idx="37">
                  <c:v>CHOCOLATE</c:v>
                </c:pt>
                <c:pt idx="38">
                  <c:v>CREME</c:v>
                </c:pt>
                <c:pt idx="39">
                  <c:v>ESPECIAL</c:v>
                </c:pt>
                <c:pt idx="40">
                  <c:v>LIMÃO</c:v>
                </c:pt>
                <c:pt idx="41">
                  <c:v>COCO</c:v>
                </c:pt>
                <c:pt idx="42">
                  <c:v>DOCE DE LEITE</c:v>
                </c:pt>
                <c:pt idx="43">
                  <c:v>NAPOLITANO</c:v>
                </c:pt>
                <c:pt idx="44">
                  <c:v>CHOCOLATE</c:v>
                </c:pt>
                <c:pt idx="45">
                  <c:v>MORANGO</c:v>
                </c:pt>
                <c:pt idx="46">
                  <c:v>PASSAS</c:v>
                </c:pt>
                <c:pt idx="47">
                  <c:v>CHOCOLATE</c:v>
                </c:pt>
                <c:pt idx="48">
                  <c:v>CREME</c:v>
                </c:pt>
                <c:pt idx="49">
                  <c:v>NAPOLITANO</c:v>
                </c:pt>
                <c:pt idx="50">
                  <c:v>DOCE DE LEITE</c:v>
                </c:pt>
                <c:pt idx="51">
                  <c:v>CHOCOLATE</c:v>
                </c:pt>
                <c:pt idx="52">
                  <c:v>MORANGO</c:v>
                </c:pt>
                <c:pt idx="53">
                  <c:v>CREME</c:v>
                </c:pt>
                <c:pt idx="54">
                  <c:v>NAPOLITANO</c:v>
                </c:pt>
                <c:pt idx="55">
                  <c:v>LIMÃO</c:v>
                </c:pt>
                <c:pt idx="56">
                  <c:v>BAUNILHA</c:v>
                </c:pt>
                <c:pt idx="57">
                  <c:v>CHOCOLATE</c:v>
                </c:pt>
                <c:pt idx="58">
                  <c:v>CREME</c:v>
                </c:pt>
                <c:pt idx="59">
                  <c:v>COCO</c:v>
                </c:pt>
                <c:pt idx="60">
                  <c:v>CHOCOLATE</c:v>
                </c:pt>
                <c:pt idx="61">
                  <c:v>NAPOLITANO</c:v>
                </c:pt>
                <c:pt idx="62">
                  <c:v>FLOCOS</c:v>
                </c:pt>
                <c:pt idx="63">
                  <c:v>LIMÃO</c:v>
                </c:pt>
                <c:pt idx="64">
                  <c:v>CREME</c:v>
                </c:pt>
                <c:pt idx="65">
                  <c:v>PISTACHE</c:v>
                </c:pt>
                <c:pt idx="66">
                  <c:v>CHOCOLATE</c:v>
                </c:pt>
                <c:pt idx="67">
                  <c:v>NAPOLITANO</c:v>
                </c:pt>
                <c:pt idx="68">
                  <c:v>CREME</c:v>
                </c:pt>
                <c:pt idx="69">
                  <c:v>MORANGO</c:v>
                </c:pt>
                <c:pt idx="70">
                  <c:v>FLOCOS</c:v>
                </c:pt>
                <c:pt idx="71">
                  <c:v>BRIGADEIRO</c:v>
                </c:pt>
                <c:pt idx="72">
                  <c:v>COCO</c:v>
                </c:pt>
                <c:pt idx="73">
                  <c:v>TROPICAL</c:v>
                </c:pt>
                <c:pt idx="74">
                  <c:v>BAUNILHA</c:v>
                </c:pt>
                <c:pt idx="75">
                  <c:v>CHOCOLATE</c:v>
                </c:pt>
                <c:pt idx="76">
                  <c:v>PASSAS</c:v>
                </c:pt>
                <c:pt idx="77">
                  <c:v>CREME</c:v>
                </c:pt>
                <c:pt idx="78">
                  <c:v>ESPECIAL</c:v>
                </c:pt>
                <c:pt idx="79">
                  <c:v>CREME</c:v>
                </c:pt>
                <c:pt idx="80">
                  <c:v>NAPOLITANO</c:v>
                </c:pt>
                <c:pt idx="81">
                  <c:v>PASSAS</c:v>
                </c:pt>
                <c:pt idx="82">
                  <c:v>TROPICAL</c:v>
                </c:pt>
                <c:pt idx="83">
                  <c:v>CHOCOLATE</c:v>
                </c:pt>
                <c:pt idx="84">
                  <c:v>LIMÃO</c:v>
                </c:pt>
                <c:pt idx="85">
                  <c:v>NAPOLITANO</c:v>
                </c:pt>
                <c:pt idx="86">
                  <c:v>CHOCOLATE</c:v>
                </c:pt>
                <c:pt idx="87">
                  <c:v>PISTACHE</c:v>
                </c:pt>
                <c:pt idx="88">
                  <c:v>TROPICAL</c:v>
                </c:pt>
                <c:pt idx="89">
                  <c:v>CHOCOLATE</c:v>
                </c:pt>
                <c:pt idx="90">
                  <c:v>CREME</c:v>
                </c:pt>
                <c:pt idx="91">
                  <c:v>ESPECIAL</c:v>
                </c:pt>
                <c:pt idx="92">
                  <c:v>CREME</c:v>
                </c:pt>
              </c:strCache>
            </c:strRef>
          </c:xVal>
          <c:yVal>
            <c:numRef>
              <c:f>'Fab de Sorvete - Vendas'!$C$2:$C$94</c:f>
              <c:numCache>
                <c:formatCode>General</c:formatCode>
                <c:ptCount val="93"/>
                <c:pt idx="0">
                  <c:v>0</c:v>
                </c:pt>
                <c:pt idx="1">
                  <c:v>20</c:v>
                </c:pt>
                <c:pt idx="2">
                  <c:v>5</c:v>
                </c:pt>
                <c:pt idx="3">
                  <c:v>5</c:v>
                </c:pt>
                <c:pt idx="4">
                  <c:v>30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40</c:v>
                </c:pt>
                <c:pt idx="9">
                  <c:v>20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50</c:v>
                </c:pt>
                <c:pt idx="26">
                  <c:v>20</c:v>
                </c:pt>
                <c:pt idx="27">
                  <c:v>20</c:v>
                </c:pt>
                <c:pt idx="28">
                  <c:v>10</c:v>
                </c:pt>
                <c:pt idx="29">
                  <c:v>35</c:v>
                </c:pt>
                <c:pt idx="30">
                  <c:v>20</c:v>
                </c:pt>
                <c:pt idx="31">
                  <c:v>20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5</c:v>
                </c:pt>
                <c:pt idx="36">
                  <c:v>50</c:v>
                </c:pt>
                <c:pt idx="37">
                  <c:v>65</c:v>
                </c:pt>
                <c:pt idx="38">
                  <c:v>30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35</c:v>
                </c:pt>
                <c:pt idx="45">
                  <c:v>5</c:v>
                </c:pt>
                <c:pt idx="46">
                  <c:v>5</c:v>
                </c:pt>
                <c:pt idx="47">
                  <c:v>150</c:v>
                </c:pt>
                <c:pt idx="48">
                  <c:v>120</c:v>
                </c:pt>
                <c:pt idx="49">
                  <c:v>30</c:v>
                </c:pt>
                <c:pt idx="50">
                  <c:v>30</c:v>
                </c:pt>
                <c:pt idx="51">
                  <c:v>20</c:v>
                </c:pt>
                <c:pt idx="52">
                  <c:v>20</c:v>
                </c:pt>
                <c:pt idx="53">
                  <c:v>15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200</c:v>
                </c:pt>
                <c:pt idx="58">
                  <c:v>5</c:v>
                </c:pt>
                <c:pt idx="59">
                  <c:v>5</c:v>
                </c:pt>
                <c:pt idx="60">
                  <c:v>50</c:v>
                </c:pt>
                <c:pt idx="61">
                  <c:v>45</c:v>
                </c:pt>
                <c:pt idx="62">
                  <c:v>25</c:v>
                </c:pt>
                <c:pt idx="63">
                  <c:v>15</c:v>
                </c:pt>
                <c:pt idx="64">
                  <c:v>5</c:v>
                </c:pt>
                <c:pt idx="65">
                  <c:v>5</c:v>
                </c:pt>
                <c:pt idx="66">
                  <c:v>100</c:v>
                </c:pt>
                <c:pt idx="67">
                  <c:v>100</c:v>
                </c:pt>
                <c:pt idx="68">
                  <c:v>75</c:v>
                </c:pt>
                <c:pt idx="69">
                  <c:v>25</c:v>
                </c:pt>
                <c:pt idx="70">
                  <c:v>25</c:v>
                </c:pt>
                <c:pt idx="71">
                  <c:v>15</c:v>
                </c:pt>
                <c:pt idx="72">
                  <c:v>15</c:v>
                </c:pt>
                <c:pt idx="73">
                  <c:v>10</c:v>
                </c:pt>
                <c:pt idx="74">
                  <c:v>10</c:v>
                </c:pt>
                <c:pt idx="75">
                  <c:v>30</c:v>
                </c:pt>
                <c:pt idx="76">
                  <c:v>10</c:v>
                </c:pt>
                <c:pt idx="77">
                  <c:v>15</c:v>
                </c:pt>
                <c:pt idx="78">
                  <c:v>5</c:v>
                </c:pt>
                <c:pt idx="79">
                  <c:v>200</c:v>
                </c:pt>
                <c:pt idx="80">
                  <c:v>55</c:v>
                </c:pt>
                <c:pt idx="81">
                  <c:v>25</c:v>
                </c:pt>
                <c:pt idx="82">
                  <c:v>10</c:v>
                </c:pt>
                <c:pt idx="83">
                  <c:v>15</c:v>
                </c:pt>
                <c:pt idx="84">
                  <c:v>5</c:v>
                </c:pt>
                <c:pt idx="85">
                  <c:v>120</c:v>
                </c:pt>
                <c:pt idx="86">
                  <c:v>80</c:v>
                </c:pt>
                <c:pt idx="87">
                  <c:v>20</c:v>
                </c:pt>
                <c:pt idx="88">
                  <c:v>10</c:v>
                </c:pt>
                <c:pt idx="89">
                  <c:v>35</c:v>
                </c:pt>
                <c:pt idx="90">
                  <c:v>15</c:v>
                </c:pt>
                <c:pt idx="91">
                  <c:v>5</c:v>
                </c:pt>
                <c:pt idx="9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5-4C76-9506-0207706A0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66144"/>
        <c:axId val="497729392"/>
      </c:scatterChart>
      <c:valAx>
        <c:axId val="50086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729392"/>
        <c:crosses val="autoZero"/>
        <c:crossBetween val="midCat"/>
      </c:valAx>
      <c:valAx>
        <c:axId val="4977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86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Xilitol</a:t>
            </a:r>
          </a:p>
        </c:rich>
      </c:tx>
      <c:layout>
        <c:manualLayout>
          <c:xMode val="edge"/>
          <c:yMode val="edge"/>
          <c:x val="0.4047567804024497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 de ... - Adoçante e Doçura'!$C$2</c:f>
              <c:strCache>
                <c:ptCount val="1"/>
                <c:pt idx="0">
                  <c:v>Doçura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'Fab de ... - Adoçante e Doçura'!$B$3:$B$12</c:f>
              <c:numCache>
                <c:formatCode>General</c:formatCode>
                <c:ptCount val="10"/>
                <c:pt idx="0">
                  <c:v>0.6</c:v>
                </c:pt>
                <c:pt idx="1">
                  <c:v>1.2</c:v>
                </c:pt>
                <c:pt idx="2">
                  <c:v>1.8</c:v>
                </c:pt>
                <c:pt idx="3">
                  <c:v>2.4</c:v>
                </c:pt>
                <c:pt idx="4">
                  <c:v>3</c:v>
                </c:pt>
                <c:pt idx="5">
                  <c:v>3.6</c:v>
                </c:pt>
                <c:pt idx="6">
                  <c:v>4.2</c:v>
                </c:pt>
                <c:pt idx="7">
                  <c:v>4.8</c:v>
                </c:pt>
                <c:pt idx="8">
                  <c:v>5.4</c:v>
                </c:pt>
                <c:pt idx="9">
                  <c:v>6</c:v>
                </c:pt>
              </c:numCache>
            </c:numRef>
          </c:xVal>
          <c:yVal>
            <c:numRef>
              <c:f>'Fab de ... - Adoçante e Doçura'!$C$3:$C$12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1.2</c:v>
                </c:pt>
                <c:pt idx="4">
                  <c:v>1.6</c:v>
                </c:pt>
                <c:pt idx="5">
                  <c:v>1.8</c:v>
                </c:pt>
                <c:pt idx="6">
                  <c:v>2.4</c:v>
                </c:pt>
                <c:pt idx="7">
                  <c:v>2.8</c:v>
                </c:pt>
                <c:pt idx="8">
                  <c:v>3.5</c:v>
                </c:pt>
                <c:pt idx="9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1F-4940-AA8F-965591C7D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312256"/>
        <c:axId val="747314656"/>
      </c:scatterChart>
      <c:valAx>
        <c:axId val="74731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7314656"/>
        <c:crosses val="autoZero"/>
        <c:crossBetween val="midCat"/>
      </c:valAx>
      <c:valAx>
        <c:axId val="7473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731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Acessulfame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 de ... - Adoçante e Doçura'!$F$2</c:f>
              <c:strCache>
                <c:ptCount val="1"/>
                <c:pt idx="0">
                  <c:v>Doçura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'Fab de ... - Adoçante e Doçura'!$E$3:$E$12</c:f>
              <c:numCache>
                <c:formatCode>General</c:formatCode>
                <c:ptCount val="10"/>
                <c:pt idx="0">
                  <c:v>1</c:v>
                </c:pt>
                <c:pt idx="1">
                  <c:v>1.3</c:v>
                </c:pt>
                <c:pt idx="2">
                  <c:v>1.6</c:v>
                </c:pt>
                <c:pt idx="3">
                  <c:v>1.9</c:v>
                </c:pt>
                <c:pt idx="4">
                  <c:v>2.2000000000000002</c:v>
                </c:pt>
                <c:pt idx="5">
                  <c:v>2.5</c:v>
                </c:pt>
                <c:pt idx="6">
                  <c:v>2.8</c:v>
                </c:pt>
                <c:pt idx="7">
                  <c:v>3.1</c:v>
                </c:pt>
                <c:pt idx="8">
                  <c:v>3.4</c:v>
                </c:pt>
                <c:pt idx="9">
                  <c:v>3.7</c:v>
                </c:pt>
              </c:numCache>
            </c:numRef>
          </c:xVal>
          <c:yVal>
            <c:numRef>
              <c:f>'Fab de ... - Adoçante e Doçura'!$F$3:$F$12</c:f>
              <c:numCache>
                <c:formatCode>General</c:formatCode>
                <c:ptCount val="10"/>
                <c:pt idx="0">
                  <c:v>3.5</c:v>
                </c:pt>
                <c:pt idx="1">
                  <c:v>3.8</c:v>
                </c:pt>
                <c:pt idx="2">
                  <c:v>4</c:v>
                </c:pt>
                <c:pt idx="3">
                  <c:v>4.5</c:v>
                </c:pt>
                <c:pt idx="4">
                  <c:v>5.2</c:v>
                </c:pt>
                <c:pt idx="5">
                  <c:v>5.9</c:v>
                </c:pt>
                <c:pt idx="6">
                  <c:v>6.3</c:v>
                </c:pt>
                <c:pt idx="7">
                  <c:v>6.8</c:v>
                </c:pt>
                <c:pt idx="8">
                  <c:v>7.4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C-474A-80A3-E03BA5BAA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720160"/>
        <c:axId val="521719200"/>
      </c:scatterChart>
      <c:valAx>
        <c:axId val="52172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719200"/>
        <c:crosses val="autoZero"/>
        <c:crossBetween val="midCat"/>
      </c:valAx>
      <c:valAx>
        <c:axId val="5217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72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'Fab de ... - Adoçante e Doçura'!$C$14</c:f>
              <c:strCache>
                <c:ptCount val="1"/>
                <c:pt idx="0">
                  <c:v>Doçura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'Fab de ... - Adoçante e Doçura'!$B$15:$B$25</c:f>
              <c:numCache>
                <c:formatCode>General</c:formatCode>
                <c:ptCount val="11"/>
                <c:pt idx="0">
                  <c:v>1.2</c:v>
                </c:pt>
                <c:pt idx="1">
                  <c:v>1.7</c:v>
                </c:pt>
                <c:pt idx="2">
                  <c:v>2.2000000000000002</c:v>
                </c:pt>
                <c:pt idx="3">
                  <c:v>2.7</c:v>
                </c:pt>
                <c:pt idx="4">
                  <c:v>3.2</c:v>
                </c:pt>
                <c:pt idx="6">
                  <c:v>3.7</c:v>
                </c:pt>
                <c:pt idx="7">
                  <c:v>4.2</c:v>
                </c:pt>
                <c:pt idx="8">
                  <c:v>4.7</c:v>
                </c:pt>
                <c:pt idx="9">
                  <c:v>5.2</c:v>
                </c:pt>
                <c:pt idx="10">
                  <c:v>5.7</c:v>
                </c:pt>
              </c:numCache>
            </c:numRef>
          </c:xVal>
          <c:yVal>
            <c:numRef>
              <c:f>'Fab de ... - Adoçante e Doçura'!$C$15:$C$25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  <c:pt idx="4">
                  <c:v>3.4</c:v>
                </c:pt>
                <c:pt idx="6">
                  <c:v>3.8</c:v>
                </c:pt>
                <c:pt idx="7">
                  <c:v>4.5999999999999996</c:v>
                </c:pt>
                <c:pt idx="8">
                  <c:v>5.2</c:v>
                </c:pt>
                <c:pt idx="9">
                  <c:v>5.5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2B-45DD-B119-2193CA364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41184"/>
        <c:axId val="531639744"/>
      </c:scatterChart>
      <c:valAx>
        <c:axId val="53164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639744"/>
        <c:crosses val="autoZero"/>
        <c:crossBetween val="midCat"/>
      </c:valAx>
      <c:valAx>
        <c:axId val="5316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64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Xilitol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'Fab de ... - Adoçante e Doçura'!$B$3:$B$12</c:f>
              <c:numCache>
                <c:formatCode>General</c:formatCode>
                <c:ptCount val="10"/>
                <c:pt idx="0">
                  <c:v>0.6</c:v>
                </c:pt>
                <c:pt idx="1">
                  <c:v>1.2</c:v>
                </c:pt>
                <c:pt idx="2">
                  <c:v>1.8</c:v>
                </c:pt>
                <c:pt idx="3">
                  <c:v>2.4</c:v>
                </c:pt>
                <c:pt idx="4">
                  <c:v>3</c:v>
                </c:pt>
                <c:pt idx="5">
                  <c:v>3.6</c:v>
                </c:pt>
                <c:pt idx="6">
                  <c:v>4.2</c:v>
                </c:pt>
                <c:pt idx="7">
                  <c:v>4.8</c:v>
                </c:pt>
                <c:pt idx="8">
                  <c:v>5.4</c:v>
                </c:pt>
                <c:pt idx="9">
                  <c:v>6</c:v>
                </c:pt>
              </c:numCache>
            </c:numRef>
          </c:xVal>
          <c:yVal>
            <c:numRef>
              <c:f>'Fab de ... - Adoçante e Doçura'!$C$3:$C$12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1.2</c:v>
                </c:pt>
                <c:pt idx="4">
                  <c:v>1.6</c:v>
                </c:pt>
                <c:pt idx="5">
                  <c:v>1.8</c:v>
                </c:pt>
                <c:pt idx="6">
                  <c:v>2.4</c:v>
                </c:pt>
                <c:pt idx="7">
                  <c:v>2.8</c:v>
                </c:pt>
                <c:pt idx="8">
                  <c:v>3.5</c:v>
                </c:pt>
                <c:pt idx="9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8-47D3-90B7-7E0FDB6243E0}"/>
            </c:ext>
          </c:extLst>
        </c:ser>
        <c:ser>
          <c:idx val="1"/>
          <c:order val="1"/>
          <c:tx>
            <c:v>Dextrose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'Fab de ... - Adoçante e Doçura'!$B$15:$B$25</c:f>
              <c:numCache>
                <c:formatCode>General</c:formatCode>
                <c:ptCount val="11"/>
                <c:pt idx="0">
                  <c:v>1.2</c:v>
                </c:pt>
                <c:pt idx="1">
                  <c:v>1.7</c:v>
                </c:pt>
                <c:pt idx="2">
                  <c:v>2.2000000000000002</c:v>
                </c:pt>
                <c:pt idx="3">
                  <c:v>2.7</c:v>
                </c:pt>
                <c:pt idx="4">
                  <c:v>3.2</c:v>
                </c:pt>
                <c:pt idx="6">
                  <c:v>3.7</c:v>
                </c:pt>
                <c:pt idx="7">
                  <c:v>4.2</c:v>
                </c:pt>
                <c:pt idx="8">
                  <c:v>4.7</c:v>
                </c:pt>
                <c:pt idx="9">
                  <c:v>5.2</c:v>
                </c:pt>
                <c:pt idx="10">
                  <c:v>5.7</c:v>
                </c:pt>
              </c:numCache>
            </c:numRef>
          </c:xVal>
          <c:yVal>
            <c:numRef>
              <c:f>'Fab de ... - Adoçante e Doçura'!$C$15:$C$25</c:f>
              <c:numCache>
                <c:formatCode>General</c:formatCode>
                <c:ptCount val="11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3</c:v>
                </c:pt>
                <c:pt idx="4">
                  <c:v>3.4</c:v>
                </c:pt>
                <c:pt idx="6">
                  <c:v>3.8</c:v>
                </c:pt>
                <c:pt idx="7">
                  <c:v>4.5999999999999996</c:v>
                </c:pt>
                <c:pt idx="8">
                  <c:v>5.2</c:v>
                </c:pt>
                <c:pt idx="9">
                  <c:v>5.5</c:v>
                </c:pt>
                <c:pt idx="1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8-47D3-90B7-7E0FDB6243E0}"/>
            </c:ext>
          </c:extLst>
        </c:ser>
        <c:ser>
          <c:idx val="2"/>
          <c:order val="2"/>
          <c:tx>
            <c:v>Acessulfame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'Fab de ... - Adoçante e Doçura'!$E$3:$E$12</c:f>
              <c:numCache>
                <c:formatCode>General</c:formatCode>
                <c:ptCount val="10"/>
                <c:pt idx="0">
                  <c:v>1</c:v>
                </c:pt>
                <c:pt idx="1">
                  <c:v>1.3</c:v>
                </c:pt>
                <c:pt idx="2">
                  <c:v>1.6</c:v>
                </c:pt>
                <c:pt idx="3">
                  <c:v>1.9</c:v>
                </c:pt>
                <c:pt idx="4">
                  <c:v>2.2000000000000002</c:v>
                </c:pt>
                <c:pt idx="5">
                  <c:v>2.5</c:v>
                </c:pt>
                <c:pt idx="6">
                  <c:v>2.8</c:v>
                </c:pt>
                <c:pt idx="7">
                  <c:v>3.1</c:v>
                </c:pt>
                <c:pt idx="8">
                  <c:v>3.4</c:v>
                </c:pt>
                <c:pt idx="9">
                  <c:v>3.7</c:v>
                </c:pt>
              </c:numCache>
            </c:numRef>
          </c:xVal>
          <c:yVal>
            <c:numRef>
              <c:f>'Fab de ... - Adoçante e Doçura'!$F$3:$F$12</c:f>
              <c:numCache>
                <c:formatCode>General</c:formatCode>
                <c:ptCount val="10"/>
                <c:pt idx="0">
                  <c:v>3.5</c:v>
                </c:pt>
                <c:pt idx="1">
                  <c:v>3.8</c:v>
                </c:pt>
                <c:pt idx="2">
                  <c:v>4</c:v>
                </c:pt>
                <c:pt idx="3">
                  <c:v>4.5</c:v>
                </c:pt>
                <c:pt idx="4">
                  <c:v>5.2</c:v>
                </c:pt>
                <c:pt idx="5">
                  <c:v>5.9</c:v>
                </c:pt>
                <c:pt idx="6">
                  <c:v>6.3</c:v>
                </c:pt>
                <c:pt idx="7">
                  <c:v>6.8</c:v>
                </c:pt>
                <c:pt idx="8">
                  <c:v>7.4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D8-47D3-90B7-7E0FDB624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176"/>
        <c:axId val="964385376"/>
      </c:scatterChart>
      <c:valAx>
        <c:axId val="96439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 / 100g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385376"/>
        <c:crosses val="autoZero"/>
        <c:crossBetween val="midCat"/>
      </c:valAx>
      <c:valAx>
        <c:axId val="9643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Doçura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439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A2-40A8-92E9-9032405BE4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A2-40A8-92E9-9032405BE42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'Irmãos Tec. - Prazo e Entrega'!$G$22:$G$23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8-43B5-A2F7-329A49DF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'Irm. Tec. - NV Prazo de Entrega'!$B$1</c:f>
              <c:strCache>
                <c:ptCount val="1"/>
                <c:pt idx="0">
                  <c:v>Tempo Levado (dias)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'Irm. Tec. - NV Prazo de Entrega'!$B$2:$B$21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0-46E7-9F68-95FD5DA8E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5574992"/>
        <c:axId val="975575952"/>
      </c:lineChart>
      <c:catAx>
        <c:axId val="97557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575952"/>
        <c:crosses val="autoZero"/>
        <c:auto val="1"/>
        <c:lblAlgn val="ctr"/>
        <c:lblOffset val="100"/>
        <c:noMultiLvlLbl val="0"/>
      </c:catAx>
      <c:valAx>
        <c:axId val="9755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557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'Irm. Tec. - NV Prazo de Entrega'!$B$1</c:f>
              <c:strCache>
                <c:ptCount val="1"/>
                <c:pt idx="0">
                  <c:v>Tempo Levado (dias)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'Irm. Tec. - NV Prazo de Entrega'!$B$2:$B$21</c:f>
              <c:numCache>
                <c:formatCode>General</c:formatCode>
                <c:ptCount val="20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8B-494C-9D3D-97DE087D3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035664"/>
        <c:axId val="910037104"/>
      </c:scatterChart>
      <c:valAx>
        <c:axId val="91003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037104"/>
        <c:crosses val="autoZero"/>
        <c:crossBetween val="midCat"/>
      </c:valAx>
      <c:valAx>
        <c:axId val="9100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003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Total de Vendas em Unidades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de Vendas em Unidades</a:t>
          </a:r>
        </a:p>
      </cx:txPr>
    </cx:title>
    <cx:plotArea>
      <cx:plotAreaRegion>
        <cx:series layoutId="clusteredColumn" uniqueId="{51D02FF0-8A2F-472D-A75C-B2A4A6EAD11C}">
          <cx:tx>
            <cx:txData>
              <cx:f>_xlchart.v1.1</cx:f>
              <cx:v>Soma de Quantidade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13DC9DF-59AA-4EC5-A06E-B19725C228D1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61</xdr:row>
      <xdr:rowOff>24533</xdr:rowOff>
    </xdr:from>
    <xdr:to>
      <xdr:col>12</xdr:col>
      <xdr:colOff>28574</xdr:colOff>
      <xdr:row>79</xdr:row>
      <xdr:rowOff>13753</xdr:rowOff>
    </xdr:to>
    <xdr:pic>
      <xdr:nvPicPr>
        <xdr:cNvPr id="2" name="Imagem 1" descr="Imagem sem legenda">
          <a:extLst>
            <a:ext uri="{FF2B5EF4-FFF2-40B4-BE49-F238E27FC236}">
              <a16:creationId xmlns:a16="http://schemas.microsoft.com/office/drawing/2014/main" id="{79371772-9072-1109-B62B-834CA3BB2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1654558"/>
          <a:ext cx="5791199" cy="34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5014</xdr:rowOff>
    </xdr:from>
    <xdr:to>
      <xdr:col>11</xdr:col>
      <xdr:colOff>143877</xdr:colOff>
      <xdr:row>186</xdr:row>
      <xdr:rowOff>5014</xdr:rowOff>
    </xdr:to>
    <xdr:pic>
      <xdr:nvPicPr>
        <xdr:cNvPr id="3" name="Imagem 2" descr="Imagem sem legenda">
          <a:extLst>
            <a:ext uri="{FF2B5EF4-FFF2-40B4-BE49-F238E27FC236}">
              <a16:creationId xmlns:a16="http://schemas.microsoft.com/office/drawing/2014/main" id="{237741F9-3145-E485-A59D-8645BC1A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605" y="32976553"/>
          <a:ext cx="5302417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10028</xdr:colOff>
      <xdr:row>208</xdr:row>
      <xdr:rowOff>90237</xdr:rowOff>
    </xdr:from>
    <xdr:to>
      <xdr:col>11</xdr:col>
      <xdr:colOff>205540</xdr:colOff>
      <xdr:row>225</xdr:row>
      <xdr:rowOff>50124</xdr:rowOff>
    </xdr:to>
    <xdr:pic>
      <xdr:nvPicPr>
        <xdr:cNvPr id="4" name="Imagem 3" descr="Imagem sem legenda">
          <a:extLst>
            <a:ext uri="{FF2B5EF4-FFF2-40B4-BE49-F238E27FC236}">
              <a16:creationId xmlns:a16="http://schemas.microsoft.com/office/drawing/2014/main" id="{47523DB6-D186-B539-F207-B221C477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633" y="41233224"/>
          <a:ext cx="5354052" cy="3198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19</xdr:row>
      <xdr:rowOff>157162</xdr:rowOff>
    </xdr:from>
    <xdr:to>
      <xdr:col>9</xdr:col>
      <xdr:colOff>142875</xdr:colOff>
      <xdr:row>34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7671AC-69D0-958E-8F06-F10634B89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</xdr:row>
      <xdr:rowOff>61912</xdr:rowOff>
    </xdr:from>
    <xdr:to>
      <xdr:col>18</xdr:col>
      <xdr:colOff>152400</xdr:colOff>
      <xdr:row>15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28981EB-24B4-BC43-7E5C-4206581CF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4300" y="252412"/>
              <a:ext cx="58293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1</xdr:row>
      <xdr:rowOff>23812</xdr:rowOff>
    </xdr:from>
    <xdr:to>
      <xdr:col>13</xdr:col>
      <xdr:colOff>361950</xdr:colOff>
      <xdr:row>11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F3F32B-E80F-955A-8908-EF0A4507F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0</xdr:row>
      <xdr:rowOff>61912</xdr:rowOff>
    </xdr:from>
    <xdr:to>
      <xdr:col>13</xdr:col>
      <xdr:colOff>390525</xdr:colOff>
      <xdr:row>11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AB22F4-B776-844F-9816-C2C7953B1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12</xdr:row>
      <xdr:rowOff>42862</xdr:rowOff>
    </xdr:from>
    <xdr:to>
      <xdr:col>13</xdr:col>
      <xdr:colOff>400050</xdr:colOff>
      <xdr:row>25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F7D1D5-11AC-C002-0668-C134CAAF2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25</xdr:row>
      <xdr:rowOff>157162</xdr:rowOff>
    </xdr:from>
    <xdr:to>
      <xdr:col>13</xdr:col>
      <xdr:colOff>409575</xdr:colOff>
      <xdr:row>40</xdr:row>
      <xdr:rowOff>42862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34E8A7-3549-506B-9C23-693D48272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304800</xdr:colOff>
      <xdr:row>1</xdr:row>
      <xdr:rowOff>147637</xdr:rowOff>
    </xdr:from>
    <xdr:to>
      <xdr:col>23</xdr:col>
      <xdr:colOff>495300</xdr:colOff>
      <xdr:row>22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A4A82A8-0A85-AFF3-96C6-76F7B8A7A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271462</xdr:colOff>
      <xdr:row>1</xdr:row>
      <xdr:rowOff>157162</xdr:rowOff>
    </xdr:from>
    <xdr:to>
      <xdr:col>10</xdr:col>
      <xdr:colOff>576262</xdr:colOff>
      <xdr:row>15</xdr:row>
      <xdr:rowOff>100012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D07A7E-CEAB-3795-E3E3-B8AE856A9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304068</xdr:colOff>
      <xdr:row>0</xdr:row>
      <xdr:rowOff>49823</xdr:rowOff>
    </xdr:from>
    <xdr:to>
      <xdr:col>11</xdr:col>
      <xdr:colOff>10991</xdr:colOff>
      <xdr:row>14</xdr:row>
      <xdr:rowOff>23446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FAFDFBC-B4B2-8BB5-ED6A-90A15CD20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304067</xdr:colOff>
      <xdr:row>14</xdr:row>
      <xdr:rowOff>86458</xdr:rowOff>
    </xdr:from>
    <xdr:to>
      <xdr:col>11</xdr:col>
      <xdr:colOff>10990</xdr:colOff>
      <xdr:row>28</xdr:row>
      <xdr:rowOff>111370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C07361F-3424-9DB2-C315-822BBE077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yel Souza" refreshedDate="46006.3777162037" createdVersion="8" refreshedVersion="8" minRefreshableVersion="3" recordCount="92" xr:uid="{C31ABACF-0124-45B7-8A2E-41A237DD6460}">
  <cacheSource type="worksheet">
    <worksheetSource ref="B2:D94" sheet="Fab de Sorvete - Vendas"/>
  </cacheSource>
  <cacheFields count="3">
    <cacheField name="Número da Venda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Quantidade" numFmtId="0">
      <sharedItems containsSemiMixedTypes="0" containsString="0" containsNumber="1" containsInteger="1" minValue="5" maxValue="200"/>
    </cacheField>
    <cacheField name="Sabor" numFmtId="0">
      <sharedItems count="15">
        <s v="CHOCOLATE"/>
        <s v="FLOCOS"/>
        <s v="COCO"/>
        <s v="NAPOLITANO"/>
        <s v="CREME"/>
        <s v="LIMÃO"/>
        <s v="DOCE DE LEITE"/>
        <s v="MORANGO"/>
        <s v="PISTACHE"/>
        <s v="ESPECIAL"/>
        <s v="MESCLADO"/>
        <s v="PASSAS"/>
        <s v="BRIGADEIRO"/>
        <s v="TROPICAL"/>
        <s v="BAUNILH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0"/>
    <x v="0"/>
  </r>
  <r>
    <x v="0"/>
    <n v="5"/>
    <x v="1"/>
  </r>
  <r>
    <x v="0"/>
    <n v="5"/>
    <x v="2"/>
  </r>
  <r>
    <x v="1"/>
    <n v="30"/>
    <x v="3"/>
  </r>
  <r>
    <x v="1"/>
    <n v="15"/>
    <x v="4"/>
  </r>
  <r>
    <x v="1"/>
    <n v="10"/>
    <x v="5"/>
  </r>
  <r>
    <x v="1"/>
    <n v="5"/>
    <x v="6"/>
  </r>
  <r>
    <x v="2"/>
    <n v="40"/>
    <x v="0"/>
  </r>
  <r>
    <x v="2"/>
    <n v="20"/>
    <x v="3"/>
  </r>
  <r>
    <x v="3"/>
    <n v="10"/>
    <x v="0"/>
  </r>
  <r>
    <x v="3"/>
    <n v="10"/>
    <x v="3"/>
  </r>
  <r>
    <x v="3"/>
    <n v="10"/>
    <x v="4"/>
  </r>
  <r>
    <x v="3"/>
    <n v="5"/>
    <x v="7"/>
  </r>
  <r>
    <x v="3"/>
    <n v="5"/>
    <x v="1"/>
  </r>
  <r>
    <x v="3"/>
    <n v="5"/>
    <x v="8"/>
  </r>
  <r>
    <x v="3"/>
    <n v="5"/>
    <x v="9"/>
  </r>
  <r>
    <x v="3"/>
    <n v="5"/>
    <x v="10"/>
  </r>
  <r>
    <x v="3"/>
    <n v="5"/>
    <x v="5"/>
  </r>
  <r>
    <x v="3"/>
    <n v="5"/>
    <x v="6"/>
  </r>
  <r>
    <x v="3"/>
    <n v="5"/>
    <x v="11"/>
  </r>
  <r>
    <x v="3"/>
    <n v="5"/>
    <x v="12"/>
  </r>
  <r>
    <x v="3"/>
    <n v="5"/>
    <x v="2"/>
  </r>
  <r>
    <x v="3"/>
    <n v="5"/>
    <x v="13"/>
  </r>
  <r>
    <x v="3"/>
    <n v="5"/>
    <x v="14"/>
  </r>
  <r>
    <x v="4"/>
    <n v="50"/>
    <x v="0"/>
  </r>
  <r>
    <x v="4"/>
    <n v="20"/>
    <x v="10"/>
  </r>
  <r>
    <x v="4"/>
    <n v="20"/>
    <x v="3"/>
  </r>
  <r>
    <x v="4"/>
    <n v="10"/>
    <x v="4"/>
  </r>
  <r>
    <x v="5"/>
    <n v="35"/>
    <x v="4"/>
  </r>
  <r>
    <x v="6"/>
    <n v="20"/>
    <x v="0"/>
  </r>
  <r>
    <x v="6"/>
    <n v="20"/>
    <x v="3"/>
  </r>
  <r>
    <x v="6"/>
    <n v="10"/>
    <x v="2"/>
  </r>
  <r>
    <x v="6"/>
    <n v="10"/>
    <x v="8"/>
  </r>
  <r>
    <x v="7"/>
    <n v="10"/>
    <x v="13"/>
  </r>
  <r>
    <x v="7"/>
    <n v="5"/>
    <x v="12"/>
  </r>
  <r>
    <x v="8"/>
    <n v="50"/>
    <x v="3"/>
  </r>
  <r>
    <x v="9"/>
    <n v="65"/>
    <x v="0"/>
  </r>
  <r>
    <x v="9"/>
    <n v="30"/>
    <x v="4"/>
  </r>
  <r>
    <x v="9"/>
    <n v="10"/>
    <x v="9"/>
  </r>
  <r>
    <x v="9"/>
    <n v="10"/>
    <x v="5"/>
  </r>
  <r>
    <x v="9"/>
    <n v="10"/>
    <x v="2"/>
  </r>
  <r>
    <x v="9"/>
    <n v="10"/>
    <x v="6"/>
  </r>
  <r>
    <x v="9"/>
    <n v="10"/>
    <x v="3"/>
  </r>
  <r>
    <x v="10"/>
    <n v="35"/>
    <x v="0"/>
  </r>
  <r>
    <x v="10"/>
    <n v="5"/>
    <x v="7"/>
  </r>
  <r>
    <x v="10"/>
    <n v="5"/>
    <x v="11"/>
  </r>
  <r>
    <x v="11"/>
    <n v="150"/>
    <x v="0"/>
  </r>
  <r>
    <x v="11"/>
    <n v="120"/>
    <x v="4"/>
  </r>
  <r>
    <x v="11"/>
    <n v="30"/>
    <x v="3"/>
  </r>
  <r>
    <x v="11"/>
    <n v="30"/>
    <x v="6"/>
  </r>
  <r>
    <x v="12"/>
    <n v="20"/>
    <x v="0"/>
  </r>
  <r>
    <x v="12"/>
    <n v="20"/>
    <x v="7"/>
  </r>
  <r>
    <x v="13"/>
    <n v="15"/>
    <x v="4"/>
  </r>
  <r>
    <x v="13"/>
    <n v="10"/>
    <x v="3"/>
  </r>
  <r>
    <x v="13"/>
    <n v="10"/>
    <x v="5"/>
  </r>
  <r>
    <x v="13"/>
    <n v="10"/>
    <x v="14"/>
  </r>
  <r>
    <x v="14"/>
    <n v="200"/>
    <x v="0"/>
  </r>
  <r>
    <x v="15"/>
    <n v="5"/>
    <x v="4"/>
  </r>
  <r>
    <x v="15"/>
    <n v="5"/>
    <x v="2"/>
  </r>
  <r>
    <x v="16"/>
    <n v="50"/>
    <x v="0"/>
  </r>
  <r>
    <x v="16"/>
    <n v="45"/>
    <x v="3"/>
  </r>
  <r>
    <x v="16"/>
    <n v="25"/>
    <x v="1"/>
  </r>
  <r>
    <x v="16"/>
    <n v="15"/>
    <x v="5"/>
  </r>
  <r>
    <x v="16"/>
    <n v="5"/>
    <x v="4"/>
  </r>
  <r>
    <x v="16"/>
    <n v="5"/>
    <x v="8"/>
  </r>
  <r>
    <x v="17"/>
    <n v="100"/>
    <x v="0"/>
  </r>
  <r>
    <x v="17"/>
    <n v="100"/>
    <x v="3"/>
  </r>
  <r>
    <x v="17"/>
    <n v="75"/>
    <x v="4"/>
  </r>
  <r>
    <x v="17"/>
    <n v="25"/>
    <x v="7"/>
  </r>
  <r>
    <x v="17"/>
    <n v="25"/>
    <x v="1"/>
  </r>
  <r>
    <x v="17"/>
    <n v="15"/>
    <x v="12"/>
  </r>
  <r>
    <x v="17"/>
    <n v="15"/>
    <x v="2"/>
  </r>
  <r>
    <x v="17"/>
    <n v="10"/>
    <x v="13"/>
  </r>
  <r>
    <x v="17"/>
    <n v="10"/>
    <x v="14"/>
  </r>
  <r>
    <x v="18"/>
    <n v="30"/>
    <x v="0"/>
  </r>
  <r>
    <x v="18"/>
    <n v="10"/>
    <x v="11"/>
  </r>
  <r>
    <x v="18"/>
    <n v="15"/>
    <x v="4"/>
  </r>
  <r>
    <x v="18"/>
    <n v="5"/>
    <x v="9"/>
  </r>
  <r>
    <x v="19"/>
    <n v="200"/>
    <x v="4"/>
  </r>
  <r>
    <x v="20"/>
    <n v="55"/>
    <x v="3"/>
  </r>
  <r>
    <x v="20"/>
    <n v="25"/>
    <x v="11"/>
  </r>
  <r>
    <x v="20"/>
    <n v="10"/>
    <x v="13"/>
  </r>
  <r>
    <x v="21"/>
    <n v="15"/>
    <x v="0"/>
  </r>
  <r>
    <x v="21"/>
    <n v="5"/>
    <x v="5"/>
  </r>
  <r>
    <x v="22"/>
    <n v="120"/>
    <x v="3"/>
  </r>
  <r>
    <x v="22"/>
    <n v="80"/>
    <x v="0"/>
  </r>
  <r>
    <x v="22"/>
    <n v="20"/>
    <x v="8"/>
  </r>
  <r>
    <x v="22"/>
    <n v="10"/>
    <x v="13"/>
  </r>
  <r>
    <x v="23"/>
    <n v="35"/>
    <x v="0"/>
  </r>
  <r>
    <x v="23"/>
    <n v="15"/>
    <x v="4"/>
  </r>
  <r>
    <x v="23"/>
    <n v="5"/>
    <x v="9"/>
  </r>
  <r>
    <x v="24"/>
    <n v="1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BF212-EAF7-4FDD-A8CF-140CC31436B8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1:L47" firstHeaderRow="1" firstDataRow="1" firstDataCol="1"/>
  <pivotFields count="3">
    <pivotField axis="axisRow" showAll="0" sortType="descending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26">
    <i>
      <x v="17"/>
    </i>
    <i>
      <x v="11"/>
    </i>
    <i>
      <x v="22"/>
    </i>
    <i>
      <x v="19"/>
    </i>
    <i>
      <x v="14"/>
    </i>
    <i>
      <x v="16"/>
    </i>
    <i>
      <x v="9"/>
    </i>
    <i>
      <x v="4"/>
    </i>
    <i>
      <x v="20"/>
    </i>
    <i>
      <x v="3"/>
    </i>
    <i>
      <x v="6"/>
    </i>
    <i>
      <x v="18"/>
    </i>
    <i>
      <x v="2"/>
    </i>
    <i>
      <x v="1"/>
    </i>
    <i>
      <x v="23"/>
    </i>
    <i>
      <x v="8"/>
    </i>
    <i>
      <x v="13"/>
    </i>
    <i>
      <x v="10"/>
    </i>
    <i>
      <x v="12"/>
    </i>
    <i>
      <x v="5"/>
    </i>
    <i>
      <x/>
    </i>
    <i>
      <x v="21"/>
    </i>
    <i>
      <x v="7"/>
    </i>
    <i>
      <x v="24"/>
    </i>
    <i>
      <x v="15"/>
    </i>
    <i t="grand">
      <x/>
    </i>
  </rowItems>
  <colItems count="1">
    <i/>
  </colItems>
  <dataFields count="1">
    <dataField name="Soma de Quantidade" fld="1" baseField="0" baseItem="0"/>
  </dataFields>
  <formats count="3">
    <format dxfId="6">
      <pivotArea collapsedLevelsAreSubtotals="1" fieldPosition="0">
        <references count="1">
          <reference field="0" count="1">
            <x v="11"/>
          </reference>
        </references>
      </pivotArea>
    </format>
    <format dxfId="5">
      <pivotArea collapsedLevelsAreSubtotals="1" fieldPosition="0">
        <references count="1">
          <reference field="0" count="1">
            <x v="17"/>
          </reference>
        </references>
      </pivotArea>
    </format>
    <format dxfId="4">
      <pivotArea dataOnly="0" labelOnly="1" fieldPosition="0">
        <references count="1">
          <reference field="0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21C23-7E52-4CCA-8561-C207D01728D6}" name="Tabela dinâmica1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3">
    <pivotField showAll="0"/>
    <pivotField dataField="1" showAll="0"/>
    <pivotField axis="axisRow" showAll="0">
      <items count="16">
        <item x="14"/>
        <item x="12"/>
        <item x="0"/>
        <item x="2"/>
        <item x="4"/>
        <item x="6"/>
        <item x="9"/>
        <item x="1"/>
        <item x="5"/>
        <item x="10"/>
        <item x="7"/>
        <item x="3"/>
        <item x="11"/>
        <item x="8"/>
        <item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Quantidad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MZV8KvgCuR8" TargetMode="External"/><Relationship Id="rId2" Type="http://schemas.openxmlformats.org/officeDocument/2006/relationships/hyperlink" Target="https://docs.google.com/spreadsheets/d/1RaLkAqrv1eDECbNqCmPJnVNi5zjztbh2jo6nU3BDyR0/edit?usp=sharing" TargetMode="External"/><Relationship Id="rId1" Type="http://schemas.openxmlformats.org/officeDocument/2006/relationships/hyperlink" Target="https://docs.google.com/spreadsheets/d/1RaLkAqrv1eDECbNqCmPJnVNi5zjztbh2jo6nU3BDyR0/edit?usp=shari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B019-C0AC-46D1-ACDA-835B2CE4520D}">
  <dimension ref="B3:Q246"/>
  <sheetViews>
    <sheetView showGridLines="0" tabSelected="1" topLeftCell="A231" zoomScale="190" zoomScaleNormal="190" workbookViewId="0">
      <selection activeCell="J243" sqref="J243"/>
    </sheetView>
  </sheetViews>
  <sheetFormatPr defaultRowHeight="15" x14ac:dyDescent="0.25"/>
  <cols>
    <col min="1" max="1" width="3.5703125" customWidth="1"/>
    <col min="2" max="2" width="5.5703125" customWidth="1"/>
    <col min="3" max="3" width="4" style="26" customWidth="1"/>
  </cols>
  <sheetData>
    <row r="3" spans="3:15" s="44" customFormat="1" x14ac:dyDescent="0.25">
      <c r="C3" s="59" t="s">
        <v>27</v>
      </c>
    </row>
    <row r="4" spans="3:15" s="47" customFormat="1" x14ac:dyDescent="0.25">
      <c r="C4" s="60"/>
    </row>
    <row r="5" spans="3:15" x14ac:dyDescent="0.25">
      <c r="C5" s="26" t="s">
        <v>28</v>
      </c>
      <c r="J5" s="4" t="s">
        <v>23</v>
      </c>
    </row>
    <row r="6" spans="3:15" x14ac:dyDescent="0.25">
      <c r="C6" s="26" t="s">
        <v>29</v>
      </c>
    </row>
    <row r="7" spans="3:15" ht="15" customHeight="1" x14ac:dyDescent="0.25">
      <c r="C7" s="32" t="s">
        <v>30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3:15" x14ac:dyDescent="0.25"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3:15" x14ac:dyDescent="0.25">
      <c r="C9" s="26" t="s">
        <v>22</v>
      </c>
    </row>
    <row r="11" spans="3:15" x14ac:dyDescent="0.25">
      <c r="C11" s="30"/>
      <c r="D11" t="s">
        <v>18</v>
      </c>
    </row>
    <row r="12" spans="3:15" x14ac:dyDescent="0.25">
      <c r="C12" s="30"/>
      <c r="D12" t="s">
        <v>19</v>
      </c>
      <c r="I12" t="s">
        <v>112</v>
      </c>
      <c r="J12" s="4" t="s">
        <v>113</v>
      </c>
    </row>
    <row r="13" spans="3:15" x14ac:dyDescent="0.25">
      <c r="C13" s="38"/>
      <c r="D13" t="s">
        <v>20</v>
      </c>
    </row>
    <row r="14" spans="3:15" x14ac:dyDescent="0.25">
      <c r="C14" s="41" t="s">
        <v>50</v>
      </c>
      <c r="D14" t="s">
        <v>21</v>
      </c>
    </row>
    <row r="16" spans="3:15" x14ac:dyDescent="0.25">
      <c r="C16" s="26" t="s">
        <v>34</v>
      </c>
    </row>
    <row r="18" spans="3:10" x14ac:dyDescent="0.25">
      <c r="C18" s="30"/>
      <c r="D18" t="s">
        <v>35</v>
      </c>
    </row>
    <row r="19" spans="3:10" x14ac:dyDescent="0.25">
      <c r="C19" s="30"/>
      <c r="D19" t="s">
        <v>36</v>
      </c>
      <c r="J19" t="s">
        <v>116</v>
      </c>
    </row>
    <row r="20" spans="3:10" x14ac:dyDescent="0.25">
      <c r="C20" s="30"/>
      <c r="D20" t="s">
        <v>37</v>
      </c>
      <c r="J20" t="s">
        <v>115</v>
      </c>
    </row>
    <row r="21" spans="3:10" x14ac:dyDescent="0.25">
      <c r="C21" s="30"/>
      <c r="D21" t="s">
        <v>38</v>
      </c>
    </row>
    <row r="22" spans="3:10" x14ac:dyDescent="0.25">
      <c r="C22" s="30"/>
      <c r="D22" t="s">
        <v>39</v>
      </c>
    </row>
    <row r="23" spans="3:10" x14ac:dyDescent="0.25">
      <c r="C23" s="30"/>
      <c r="D23" t="s">
        <v>40</v>
      </c>
    </row>
    <row r="24" spans="3:10" x14ac:dyDescent="0.25">
      <c r="C24" s="30"/>
      <c r="D24" t="s">
        <v>41</v>
      </c>
    </row>
    <row r="25" spans="3:10" x14ac:dyDescent="0.25">
      <c r="C25" s="30"/>
      <c r="D25" t="s">
        <v>42</v>
      </c>
    </row>
    <row r="26" spans="3:10" x14ac:dyDescent="0.25">
      <c r="C26" s="30"/>
      <c r="D26" t="s">
        <v>43</v>
      </c>
    </row>
    <row r="27" spans="3:10" x14ac:dyDescent="0.25">
      <c r="C27" s="30"/>
      <c r="D27" t="s">
        <v>44</v>
      </c>
    </row>
    <row r="28" spans="3:10" x14ac:dyDescent="0.25">
      <c r="C28" s="30"/>
      <c r="D28" t="s">
        <v>45</v>
      </c>
    </row>
    <row r="29" spans="3:10" x14ac:dyDescent="0.25">
      <c r="C29" s="38" t="s">
        <v>50</v>
      </c>
      <c r="D29" t="s">
        <v>46</v>
      </c>
    </row>
    <row r="30" spans="3:10" x14ac:dyDescent="0.25">
      <c r="C30" s="30"/>
      <c r="D30" t="s">
        <v>47</v>
      </c>
    </row>
    <row r="31" spans="3:10" x14ac:dyDescent="0.25">
      <c r="C31" s="30"/>
      <c r="D31" t="s">
        <v>48</v>
      </c>
    </row>
    <row r="32" spans="3:10" x14ac:dyDescent="0.25">
      <c r="C32" s="30"/>
      <c r="D32" t="s">
        <v>49</v>
      </c>
    </row>
    <row r="34" spans="3:10" x14ac:dyDescent="0.25">
      <c r="C34" s="26" t="s">
        <v>51</v>
      </c>
    </row>
    <row r="36" spans="3:10" x14ac:dyDescent="0.25">
      <c r="C36" s="30"/>
      <c r="D36" t="s">
        <v>52</v>
      </c>
    </row>
    <row r="37" spans="3:10" x14ac:dyDescent="0.25">
      <c r="C37" s="30"/>
      <c r="D37" t="s">
        <v>53</v>
      </c>
    </row>
    <row r="38" spans="3:10" x14ac:dyDescent="0.25">
      <c r="C38" s="30"/>
      <c r="D38" t="s">
        <v>54</v>
      </c>
      <c r="F38" t="s">
        <v>58</v>
      </c>
      <c r="J38" t="s">
        <v>117</v>
      </c>
    </row>
    <row r="39" spans="3:10" x14ac:dyDescent="0.25">
      <c r="C39" s="38"/>
      <c r="D39" t="s">
        <v>55</v>
      </c>
      <c r="F39" t="s">
        <v>118</v>
      </c>
    </row>
    <row r="40" spans="3:10" x14ac:dyDescent="0.25">
      <c r="C40" s="30"/>
      <c r="D40" t="s">
        <v>56</v>
      </c>
    </row>
    <row r="42" spans="3:10" x14ac:dyDescent="0.25">
      <c r="C42" s="26" t="s">
        <v>59</v>
      </c>
    </row>
    <row r="44" spans="3:10" x14ac:dyDescent="0.25">
      <c r="C44" s="30" t="s">
        <v>57</v>
      </c>
      <c r="D44" t="s">
        <v>60</v>
      </c>
      <c r="G44" t="s">
        <v>64</v>
      </c>
    </row>
    <row r="45" spans="3:10" x14ac:dyDescent="0.25">
      <c r="C45" s="30"/>
      <c r="D45" t="s">
        <v>61</v>
      </c>
    </row>
    <row r="46" spans="3:10" x14ac:dyDescent="0.25">
      <c r="C46" s="30"/>
      <c r="D46" t="s">
        <v>62</v>
      </c>
    </row>
    <row r="47" spans="3:10" x14ac:dyDescent="0.25">
      <c r="C47" s="30"/>
      <c r="D47" t="s">
        <v>63</v>
      </c>
    </row>
    <row r="51" spans="3:15" s="44" customFormat="1" ht="15.75" x14ac:dyDescent="0.25">
      <c r="C51" s="61" t="s">
        <v>65</v>
      </c>
    </row>
    <row r="53" spans="3:15" x14ac:dyDescent="0.25">
      <c r="C53" s="32" t="s">
        <v>70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3:15" x14ac:dyDescent="0.25"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3:15" x14ac:dyDescent="0.25">
      <c r="C55" s="30"/>
      <c r="D55" t="s">
        <v>66</v>
      </c>
    </row>
    <row r="56" spans="3:15" x14ac:dyDescent="0.25">
      <c r="C56" s="30"/>
      <c r="D56" t="s">
        <v>67</v>
      </c>
    </row>
    <row r="57" spans="3:15" x14ac:dyDescent="0.25">
      <c r="C57" s="38" t="s">
        <v>57</v>
      </c>
      <c r="D57" t="s">
        <v>68</v>
      </c>
    </row>
    <row r="58" spans="3:15" x14ac:dyDescent="0.25">
      <c r="C58" s="30"/>
      <c r="D58" t="s">
        <v>69</v>
      </c>
    </row>
    <row r="59" spans="3:15" x14ac:dyDescent="0.25">
      <c r="C59" s="50"/>
    </row>
    <row r="61" spans="3:15" x14ac:dyDescent="0.25">
      <c r="C61" s="26" t="s">
        <v>71</v>
      </c>
    </row>
    <row r="80" ht="8.25" customHeight="1" x14ac:dyDescent="0.25"/>
    <row r="81" spans="3:15" x14ac:dyDescent="0.25">
      <c r="C81" s="30"/>
      <c r="D81" t="s">
        <v>72</v>
      </c>
    </row>
    <row r="82" spans="3:15" x14ac:dyDescent="0.25">
      <c r="C82" s="30"/>
      <c r="D82" t="s">
        <v>73</v>
      </c>
    </row>
    <row r="83" spans="3:15" x14ac:dyDescent="0.25">
      <c r="C83" s="30"/>
      <c r="D83" t="s">
        <v>74</v>
      </c>
    </row>
    <row r="84" spans="3:15" x14ac:dyDescent="0.25">
      <c r="C84" s="38" t="s">
        <v>57</v>
      </c>
      <c r="D84" t="s">
        <v>75</v>
      </c>
    </row>
    <row r="85" spans="3:15" x14ac:dyDescent="0.25">
      <c r="C85" s="30"/>
      <c r="D85" t="s">
        <v>76</v>
      </c>
    </row>
    <row r="87" spans="3:15" ht="30" customHeight="1" x14ac:dyDescent="0.25">
      <c r="C87" s="32" t="s">
        <v>84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3:15" x14ac:dyDescent="0.25">
      <c r="C88" s="26" t="s">
        <v>82</v>
      </c>
      <c r="L88" s="4" t="s">
        <v>23</v>
      </c>
    </row>
    <row r="89" spans="3:15" ht="27.75" customHeight="1" x14ac:dyDescent="0.25">
      <c r="C89" s="32" t="s">
        <v>83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3:15" ht="6.75" customHeight="1" x14ac:dyDescent="0.25"/>
    <row r="91" spans="3:15" ht="30" customHeight="1" x14ac:dyDescent="0.25">
      <c r="C91" s="32" t="s">
        <v>81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3:15" ht="6" customHeight="1" x14ac:dyDescent="0.25"/>
    <row r="93" spans="3:15" x14ac:dyDescent="0.25">
      <c r="C93" s="32" t="s">
        <v>30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3:15" x14ac:dyDescent="0.25"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</row>
    <row r="95" spans="3:15" ht="5.25" customHeight="1" x14ac:dyDescent="0.25">
      <c r="C95" s="62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</row>
    <row r="96" spans="3:15" x14ac:dyDescent="0.25">
      <c r="C96" s="30"/>
      <c r="D96" t="s">
        <v>77</v>
      </c>
    </row>
    <row r="97" spans="3:16" x14ac:dyDescent="0.25">
      <c r="C97" s="30"/>
      <c r="D97" t="s">
        <v>78</v>
      </c>
      <c r="H97" t="s">
        <v>121</v>
      </c>
    </row>
    <row r="98" spans="3:16" x14ac:dyDescent="0.25">
      <c r="C98" s="38" t="s">
        <v>50</v>
      </c>
      <c r="D98" t="s">
        <v>79</v>
      </c>
      <c r="H98" t="s">
        <v>120</v>
      </c>
    </row>
    <row r="99" spans="3:16" x14ac:dyDescent="0.25">
      <c r="C99" s="30"/>
      <c r="D99" t="s">
        <v>80</v>
      </c>
    </row>
    <row r="102" spans="3:16" x14ac:dyDescent="0.25">
      <c r="C102" s="49" t="s">
        <v>122</v>
      </c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</row>
    <row r="103" spans="3:16" x14ac:dyDescent="0.25"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 spans="3:16" x14ac:dyDescent="0.25">
      <c r="C104" s="58"/>
    </row>
    <row r="105" spans="3:16" x14ac:dyDescent="0.25">
      <c r="C105" s="30"/>
      <c r="D105" s="40" t="s">
        <v>77</v>
      </c>
    </row>
    <row r="106" spans="3:16" x14ac:dyDescent="0.25">
      <c r="C106" s="38" t="s">
        <v>50</v>
      </c>
      <c r="D106" s="40" t="s">
        <v>78</v>
      </c>
      <c r="G106" t="s">
        <v>123</v>
      </c>
    </row>
    <row r="107" spans="3:16" x14ac:dyDescent="0.25">
      <c r="C107" s="30"/>
      <c r="D107" s="40" t="s">
        <v>79</v>
      </c>
    </row>
    <row r="108" spans="3:16" x14ac:dyDescent="0.25">
      <c r="C108" s="30"/>
      <c r="D108" s="40" t="s">
        <v>80</v>
      </c>
    </row>
    <row r="109" spans="3:16" x14ac:dyDescent="0.25">
      <c r="C109" s="50"/>
      <c r="D109" s="40"/>
    </row>
    <row r="110" spans="3:16" x14ac:dyDescent="0.25">
      <c r="C110" s="50"/>
      <c r="D110" s="40"/>
    </row>
    <row r="111" spans="3:16" x14ac:dyDescent="0.25">
      <c r="C111" s="50" t="s">
        <v>124</v>
      </c>
      <c r="D111" s="40"/>
    </row>
    <row r="112" spans="3:16" x14ac:dyDescent="0.25">
      <c r="C112" s="50"/>
      <c r="D112" s="40"/>
    </row>
    <row r="113" spans="2:17" x14ac:dyDescent="0.25">
      <c r="C113" s="51" t="s">
        <v>125</v>
      </c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</row>
    <row r="114" spans="2:17" x14ac:dyDescent="0.25"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spans="2:17" x14ac:dyDescent="0.25">
      <c r="D115" s="40"/>
    </row>
    <row r="116" spans="2:17" x14ac:dyDescent="0.25">
      <c r="C116" s="50" t="s">
        <v>126</v>
      </c>
      <c r="D116" s="40"/>
    </row>
    <row r="117" spans="2:17" x14ac:dyDescent="0.25">
      <c r="C117" s="50"/>
      <c r="D117" s="40"/>
    </row>
    <row r="118" spans="2:17" x14ac:dyDescent="0.25">
      <c r="C118" s="30"/>
      <c r="D118" s="40" t="s">
        <v>77</v>
      </c>
    </row>
    <row r="119" spans="2:17" x14ac:dyDescent="0.25">
      <c r="C119" s="38" t="s">
        <v>50</v>
      </c>
      <c r="D119" s="40" t="s">
        <v>78</v>
      </c>
    </row>
    <row r="120" spans="2:17" x14ac:dyDescent="0.25">
      <c r="C120" s="30"/>
      <c r="D120" s="40" t="s">
        <v>79</v>
      </c>
    </row>
    <row r="121" spans="2:17" x14ac:dyDescent="0.25">
      <c r="C121" s="30"/>
      <c r="D121" s="40" t="s">
        <v>80</v>
      </c>
    </row>
    <row r="122" spans="2:17" x14ac:dyDescent="0.25">
      <c r="C122" s="50"/>
    </row>
    <row r="124" spans="2:17" s="44" customFormat="1" x14ac:dyDescent="0.25">
      <c r="B124" s="54" t="s">
        <v>94</v>
      </c>
      <c r="C124" s="63"/>
    </row>
    <row r="126" spans="2:17" ht="34.5" customHeight="1" x14ac:dyDescent="0.25">
      <c r="C126" s="32" t="s">
        <v>95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2:17" x14ac:dyDescent="0.25">
      <c r="C127" s="64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2:17" ht="30.75" customHeight="1" x14ac:dyDescent="0.25">
      <c r="C128" s="32" t="s">
        <v>96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3:16" x14ac:dyDescent="0.25">
      <c r="C129" s="30"/>
      <c r="D129" t="s">
        <v>97</v>
      </c>
    </row>
    <row r="130" spans="3:16" x14ac:dyDescent="0.25">
      <c r="C130" s="38" t="s">
        <v>57</v>
      </c>
      <c r="D130" s="3" t="s">
        <v>98</v>
      </c>
    </row>
    <row r="131" spans="3:16" x14ac:dyDescent="0.25">
      <c r="C131" s="30"/>
      <c r="D131" t="s">
        <v>99</v>
      </c>
    </row>
    <row r="132" spans="3:16" x14ac:dyDescent="0.25">
      <c r="C132" s="30"/>
      <c r="D132" t="s">
        <v>100</v>
      </c>
    </row>
    <row r="135" spans="3:16" x14ac:dyDescent="0.25">
      <c r="C135" s="32" t="s">
        <v>101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3:16" x14ac:dyDescent="0.25"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</row>
    <row r="137" spans="3:16" x14ac:dyDescent="0.25">
      <c r="C137" s="32" t="s">
        <v>102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</row>
    <row r="138" spans="3:16" x14ac:dyDescent="0.25"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</row>
    <row r="139" spans="3:16" ht="15" customHeight="1" x14ac:dyDescent="0.25">
      <c r="C139" s="33" t="s">
        <v>103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</row>
    <row r="140" spans="3:16" x14ac:dyDescent="0.25"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</row>
    <row r="141" spans="3:16" ht="31.5" customHeight="1" x14ac:dyDescent="0.25">
      <c r="C141" s="32" t="s">
        <v>104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</row>
    <row r="142" spans="3:16" x14ac:dyDescent="0.25">
      <c r="C142" s="30"/>
      <c r="D142" t="s">
        <v>105</v>
      </c>
    </row>
    <row r="143" spans="3:16" x14ac:dyDescent="0.25">
      <c r="C143" s="30"/>
      <c r="D143" t="s">
        <v>106</v>
      </c>
    </row>
    <row r="144" spans="3:16" x14ac:dyDescent="0.25">
      <c r="C144" s="38" t="s">
        <v>57</v>
      </c>
      <c r="D144" s="3" t="s">
        <v>107</v>
      </c>
    </row>
    <row r="145" spans="3:16" x14ac:dyDescent="0.25">
      <c r="C145" s="30"/>
      <c r="D145" t="s">
        <v>108</v>
      </c>
    </row>
    <row r="147" spans="3:16" x14ac:dyDescent="0.25">
      <c r="C147" s="26" t="s">
        <v>128</v>
      </c>
    </row>
    <row r="149" spans="3:16" x14ac:dyDescent="0.25">
      <c r="C149" s="65"/>
      <c r="D149" s="40" t="s">
        <v>129</v>
      </c>
    </row>
    <row r="150" spans="3:16" x14ac:dyDescent="0.25">
      <c r="C150" s="30"/>
      <c r="D150" s="40" t="s">
        <v>130</v>
      </c>
    </row>
    <row r="151" spans="3:16" x14ac:dyDescent="0.25">
      <c r="C151" s="30"/>
      <c r="D151" s="40" t="s">
        <v>131</v>
      </c>
    </row>
    <row r="152" spans="3:16" x14ac:dyDescent="0.25">
      <c r="C152" s="38" t="s">
        <v>57</v>
      </c>
      <c r="D152" s="39" t="s">
        <v>132</v>
      </c>
    </row>
    <row r="154" spans="3:16" x14ac:dyDescent="0.25">
      <c r="C154" s="33" t="s">
        <v>133</v>
      </c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</row>
    <row r="155" spans="3:16" x14ac:dyDescent="0.25"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</row>
    <row r="156" spans="3:16" x14ac:dyDescent="0.25">
      <c r="C156" s="66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</row>
    <row r="157" spans="3:16" x14ac:dyDescent="0.25">
      <c r="C157" s="26" t="s">
        <v>139</v>
      </c>
    </row>
    <row r="159" spans="3:16" x14ac:dyDescent="0.25">
      <c r="C159" s="26" t="s">
        <v>30</v>
      </c>
    </row>
    <row r="161" spans="3:17" x14ac:dyDescent="0.25">
      <c r="C161" s="26" t="s">
        <v>134</v>
      </c>
    </row>
    <row r="162" spans="3:17" x14ac:dyDescent="0.25">
      <c r="C162" s="58"/>
    </row>
    <row r="163" spans="3:17" x14ac:dyDescent="0.25">
      <c r="C163" s="30"/>
      <c r="D163" s="40" t="s">
        <v>135</v>
      </c>
    </row>
    <row r="164" spans="3:17" x14ac:dyDescent="0.25">
      <c r="C164" s="30"/>
      <c r="D164" s="40" t="s">
        <v>136</v>
      </c>
    </row>
    <row r="165" spans="3:17" x14ac:dyDescent="0.25">
      <c r="C165" s="38" t="s">
        <v>57</v>
      </c>
      <c r="D165" s="57" t="s">
        <v>137</v>
      </c>
      <c r="E165" s="33"/>
      <c r="F165" s="33"/>
      <c r="G165" s="33"/>
      <c r="H165" s="33"/>
      <c r="I165" s="33"/>
      <c r="J165" s="33"/>
      <c r="K165" s="33"/>
      <c r="L165" s="33"/>
    </row>
    <row r="166" spans="3:17" x14ac:dyDescent="0.25">
      <c r="C166" s="30"/>
      <c r="D166" s="40" t="s">
        <v>138</v>
      </c>
    </row>
    <row r="168" spans="3:17" x14ac:dyDescent="0.25">
      <c r="C168" s="33" t="s">
        <v>140</v>
      </c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 spans="3:17" x14ac:dyDescent="0.25"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88" spans="3:4" x14ac:dyDescent="0.25">
      <c r="C188" s="30"/>
      <c r="D188" t="s">
        <v>141</v>
      </c>
    </row>
    <row r="189" spans="3:4" x14ac:dyDescent="0.25">
      <c r="C189" s="30"/>
      <c r="D189" t="s">
        <v>142</v>
      </c>
    </row>
    <row r="190" spans="3:4" x14ac:dyDescent="0.25">
      <c r="C190" s="30"/>
      <c r="D190" t="s">
        <v>143</v>
      </c>
    </row>
    <row r="191" spans="3:4" x14ac:dyDescent="0.25">
      <c r="C191" s="38" t="s">
        <v>50</v>
      </c>
      <c r="D191" t="s">
        <v>144</v>
      </c>
    </row>
    <row r="194" spans="3:17" x14ac:dyDescent="0.25">
      <c r="C194" s="67" t="s">
        <v>145</v>
      </c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</row>
    <row r="196" spans="3:17" x14ac:dyDescent="0.25">
      <c r="C196" s="38" t="s">
        <v>50</v>
      </c>
      <c r="D196" s="49" t="s">
        <v>146</v>
      </c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21"/>
      <c r="Q196" s="21"/>
    </row>
    <row r="197" spans="3:17" x14ac:dyDescent="0.25">
      <c r="C197" s="30"/>
      <c r="D197" s="67" t="s">
        <v>147</v>
      </c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21"/>
      <c r="Q197" s="21"/>
    </row>
    <row r="198" spans="3:17" x14ac:dyDescent="0.25">
      <c r="C198" s="30"/>
      <c r="D198" s="67" t="s">
        <v>149</v>
      </c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</row>
    <row r="199" spans="3:17" x14ac:dyDescent="0.25">
      <c r="C199" s="41"/>
      <c r="D199" s="67" t="s">
        <v>148</v>
      </c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21"/>
      <c r="Q199" s="21"/>
    </row>
    <row r="201" spans="3:17" ht="29.25" customHeight="1" x14ac:dyDescent="0.25">
      <c r="C201" s="49" t="s">
        <v>150</v>
      </c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</row>
    <row r="202" spans="3:17" x14ac:dyDescent="0.25">
      <c r="C202"/>
    </row>
    <row r="203" spans="3:17" x14ac:dyDescent="0.25">
      <c r="C203" s="30"/>
      <c r="D203" s="56" t="s">
        <v>151</v>
      </c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</row>
    <row r="204" spans="3:17" x14ac:dyDescent="0.25">
      <c r="C204" s="30"/>
      <c r="D204" s="56" t="s">
        <v>152</v>
      </c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</row>
    <row r="205" spans="3:17" ht="30" customHeight="1" x14ac:dyDescent="0.25">
      <c r="C205" s="30"/>
      <c r="D205" s="56" t="s">
        <v>153</v>
      </c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</row>
    <row r="206" spans="3:17" ht="30.75" customHeight="1" x14ac:dyDescent="0.25">
      <c r="C206" s="38" t="s">
        <v>57</v>
      </c>
      <c r="D206" s="56" t="s">
        <v>154</v>
      </c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</row>
    <row r="208" spans="3:17" ht="28.5" customHeight="1" x14ac:dyDescent="0.25">
      <c r="C208" s="49" t="s">
        <v>155</v>
      </c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</row>
    <row r="227" spans="3:16" x14ac:dyDescent="0.25">
      <c r="C227" s="38" t="s">
        <v>50</v>
      </c>
      <c r="D227" t="s">
        <v>156</v>
      </c>
    </row>
    <row r="228" spans="3:16" x14ac:dyDescent="0.25">
      <c r="C228" s="30"/>
      <c r="D228" t="s">
        <v>157</v>
      </c>
    </row>
    <row r="229" spans="3:16" x14ac:dyDescent="0.25">
      <c r="C229" s="30"/>
      <c r="D229" t="s">
        <v>158</v>
      </c>
    </row>
    <row r="230" spans="3:16" x14ac:dyDescent="0.25">
      <c r="C230" s="30"/>
      <c r="D230" t="s">
        <v>159</v>
      </c>
    </row>
    <row r="232" spans="3:16" x14ac:dyDescent="0.25">
      <c r="C232" s="67" t="s">
        <v>160</v>
      </c>
      <c r="D232" s="67"/>
      <c r="E232" s="67"/>
      <c r="F232" s="67"/>
      <c r="G232" s="67"/>
      <c r="H232" s="67"/>
      <c r="I232" s="67"/>
      <c r="J232" s="67"/>
      <c r="K232" s="67"/>
      <c r="L232" s="67"/>
      <c r="M232" s="67"/>
    </row>
    <row r="234" spans="3:16" x14ac:dyDescent="0.25">
      <c r="C234" s="30"/>
      <c r="D234" s="55" t="s">
        <v>161</v>
      </c>
    </row>
    <row r="235" spans="3:16" x14ac:dyDescent="0.25">
      <c r="C235" s="38" t="s">
        <v>50</v>
      </c>
      <c r="D235" s="55" t="s">
        <v>162</v>
      </c>
    </row>
    <row r="236" spans="3:16" x14ac:dyDescent="0.25">
      <c r="C236" s="30"/>
      <c r="D236" s="55" t="s">
        <v>163</v>
      </c>
    </row>
    <row r="237" spans="3:16" x14ac:dyDescent="0.25">
      <c r="C237" s="30"/>
      <c r="D237" s="55" t="s">
        <v>164</v>
      </c>
    </row>
    <row r="239" spans="3:16" ht="27" customHeight="1" x14ac:dyDescent="0.25">
      <c r="C239" s="49" t="s">
        <v>169</v>
      </c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</row>
    <row r="240" spans="3:16" x14ac:dyDescent="0.25">
      <c r="C240"/>
    </row>
    <row r="241" spans="3:9" x14ac:dyDescent="0.25">
      <c r="C241" s="30"/>
      <c r="D241" s="68" t="s">
        <v>165</v>
      </c>
      <c r="E241" s="67"/>
      <c r="F241" s="67"/>
      <c r="G241" s="67"/>
      <c r="H241" s="67"/>
      <c r="I241" s="67"/>
    </row>
    <row r="242" spans="3:9" x14ac:dyDescent="0.25">
      <c r="C242" s="30"/>
      <c r="D242" s="68" t="s">
        <v>166</v>
      </c>
      <c r="E242" s="67"/>
      <c r="F242" s="67"/>
      <c r="G242" s="67"/>
      <c r="H242" s="67"/>
      <c r="I242" s="67"/>
    </row>
    <row r="243" spans="3:9" x14ac:dyDescent="0.25">
      <c r="C243" s="38" t="s">
        <v>50</v>
      </c>
      <c r="D243" s="68" t="s">
        <v>76</v>
      </c>
      <c r="E243" s="67"/>
      <c r="F243" s="67"/>
      <c r="G243" s="67"/>
      <c r="H243" s="67"/>
      <c r="I243" s="67"/>
    </row>
    <row r="244" spans="3:9" x14ac:dyDescent="0.25">
      <c r="C244" s="30"/>
      <c r="D244" s="69" t="s">
        <v>167</v>
      </c>
      <c r="E244" s="55"/>
      <c r="F244" s="55"/>
      <c r="G244" s="55"/>
      <c r="H244" s="55"/>
      <c r="I244" s="55"/>
    </row>
    <row r="245" spans="3:9" x14ac:dyDescent="0.25">
      <c r="C245" s="30"/>
      <c r="D245" s="68" t="s">
        <v>168</v>
      </c>
      <c r="E245" s="67"/>
      <c r="F245" s="67"/>
      <c r="G245" s="67"/>
      <c r="H245" s="67"/>
      <c r="I245" s="67"/>
    </row>
    <row r="246" spans="3:9" x14ac:dyDescent="0.25">
      <c r="C246"/>
    </row>
  </sheetData>
  <mergeCells count="34">
    <mergeCell ref="D241:I241"/>
    <mergeCell ref="D242:I242"/>
    <mergeCell ref="D243:I243"/>
    <mergeCell ref="D245:I245"/>
    <mergeCell ref="D206:P206"/>
    <mergeCell ref="C201:Q201"/>
    <mergeCell ref="C208:P208"/>
    <mergeCell ref="C232:M232"/>
    <mergeCell ref="C239:P239"/>
    <mergeCell ref="D199:O199"/>
    <mergeCell ref="D198:Q198"/>
    <mergeCell ref="D203:P203"/>
    <mergeCell ref="D204:P204"/>
    <mergeCell ref="D205:P205"/>
    <mergeCell ref="C168:Q169"/>
    <mergeCell ref="C194:O194"/>
    <mergeCell ref="D196:O196"/>
    <mergeCell ref="D197:O197"/>
    <mergeCell ref="C102:P103"/>
    <mergeCell ref="C113:Q114"/>
    <mergeCell ref="D165:L165"/>
    <mergeCell ref="C154:P155"/>
    <mergeCell ref="C7:O8"/>
    <mergeCell ref="C53:O54"/>
    <mergeCell ref="C93:O94"/>
    <mergeCell ref="C91:O91"/>
    <mergeCell ref="C87:O87"/>
    <mergeCell ref="C89:O89"/>
    <mergeCell ref="C141:P141"/>
    <mergeCell ref="C126:P126"/>
    <mergeCell ref="C128:P128"/>
    <mergeCell ref="C135:P136"/>
    <mergeCell ref="C137:P138"/>
    <mergeCell ref="C139:P140"/>
  </mergeCells>
  <hyperlinks>
    <hyperlink ref="J5" r:id="rId1" xr:uid="{493FB2E3-0FEC-42CB-9D50-2191649E5C99}"/>
    <hyperlink ref="L88" r:id="rId2" xr:uid="{586F332E-AA18-4E79-B1FB-0A73ED4258B6}"/>
    <hyperlink ref="J12" r:id="rId3" xr:uid="{7F0061E7-FF24-41F5-9AC7-F6403E2E5E99}"/>
  </hyperlinks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C62B-B5ED-451C-BBB2-6EF5265FCA8A}">
  <dimension ref="A3:O47"/>
  <sheetViews>
    <sheetView topLeftCell="A16" workbookViewId="0">
      <selection activeCell="O26" sqref="O26"/>
    </sheetView>
  </sheetViews>
  <sheetFormatPr defaultRowHeight="15" x14ac:dyDescent="0.25"/>
  <cols>
    <col min="1" max="1" width="18" bestFit="1" customWidth="1"/>
    <col min="2" max="2" width="19.7109375" bestFit="1" customWidth="1"/>
    <col min="7" max="7" width="15.7109375" bestFit="1" customWidth="1"/>
    <col min="8" max="8" width="19.7109375" bestFit="1" customWidth="1"/>
    <col min="11" max="11" width="18" bestFit="1" customWidth="1"/>
    <col min="12" max="12" width="19.7109375" bestFit="1" customWidth="1"/>
  </cols>
  <sheetData>
    <row r="3" spans="1:8" x14ac:dyDescent="0.25">
      <c r="A3" s="20" t="s">
        <v>32</v>
      </c>
      <c r="B3" t="s">
        <v>31</v>
      </c>
      <c r="G3" s="34" t="s">
        <v>32</v>
      </c>
      <c r="H3" s="34" t="s">
        <v>31</v>
      </c>
    </row>
    <row r="4" spans="1:8" x14ac:dyDescent="0.25">
      <c r="A4" s="21" t="s">
        <v>17</v>
      </c>
      <c r="B4">
        <v>25</v>
      </c>
      <c r="G4" s="21" t="s">
        <v>17</v>
      </c>
      <c r="H4">
        <v>25</v>
      </c>
    </row>
    <row r="5" spans="1:8" x14ac:dyDescent="0.25">
      <c r="A5" s="21" t="s">
        <v>15</v>
      </c>
      <c r="B5">
        <v>25</v>
      </c>
      <c r="G5" s="21" t="s">
        <v>15</v>
      </c>
      <c r="H5">
        <v>25</v>
      </c>
    </row>
    <row r="6" spans="1:8" x14ac:dyDescent="0.25">
      <c r="A6" s="21" t="s">
        <v>3</v>
      </c>
      <c r="B6">
        <v>920</v>
      </c>
      <c r="G6" s="21" t="s">
        <v>3</v>
      </c>
      <c r="H6">
        <v>920</v>
      </c>
    </row>
    <row r="7" spans="1:8" x14ac:dyDescent="0.25">
      <c r="A7" s="21" t="s">
        <v>5</v>
      </c>
      <c r="B7">
        <v>50</v>
      </c>
      <c r="G7" s="21" t="s">
        <v>5</v>
      </c>
      <c r="H7">
        <v>50</v>
      </c>
    </row>
    <row r="8" spans="1:8" x14ac:dyDescent="0.25">
      <c r="A8" s="21" t="s">
        <v>7</v>
      </c>
      <c r="B8">
        <v>560</v>
      </c>
      <c r="G8" s="21" t="s">
        <v>7</v>
      </c>
      <c r="H8">
        <v>560</v>
      </c>
    </row>
    <row r="9" spans="1:8" x14ac:dyDescent="0.25">
      <c r="A9" s="21" t="s">
        <v>9</v>
      </c>
      <c r="B9">
        <v>50</v>
      </c>
      <c r="G9" s="21" t="s">
        <v>9</v>
      </c>
      <c r="H9">
        <v>50</v>
      </c>
    </row>
    <row r="10" spans="1:8" x14ac:dyDescent="0.25">
      <c r="A10" s="21" t="s">
        <v>12</v>
      </c>
      <c r="B10">
        <v>25</v>
      </c>
      <c r="G10" s="21" t="s">
        <v>12</v>
      </c>
      <c r="H10">
        <v>25</v>
      </c>
    </row>
    <row r="11" spans="1:8" x14ac:dyDescent="0.25">
      <c r="A11" s="21" t="s">
        <v>4</v>
      </c>
      <c r="B11">
        <v>60</v>
      </c>
      <c r="G11" s="21" t="s">
        <v>4</v>
      </c>
      <c r="H11">
        <v>60</v>
      </c>
    </row>
    <row r="12" spans="1:8" x14ac:dyDescent="0.25">
      <c r="A12" s="21" t="s">
        <v>8</v>
      </c>
      <c r="B12">
        <v>55</v>
      </c>
      <c r="G12" s="21" t="s">
        <v>8</v>
      </c>
      <c r="H12">
        <v>55</v>
      </c>
    </row>
    <row r="13" spans="1:8" x14ac:dyDescent="0.25">
      <c r="A13" s="21" t="s">
        <v>13</v>
      </c>
      <c r="B13">
        <v>25</v>
      </c>
      <c r="G13" s="21" t="s">
        <v>13</v>
      </c>
      <c r="H13">
        <v>25</v>
      </c>
    </row>
    <row r="14" spans="1:8" x14ac:dyDescent="0.25">
      <c r="A14" s="21" t="s">
        <v>10</v>
      </c>
      <c r="B14">
        <v>55</v>
      </c>
      <c r="G14" s="21" t="s">
        <v>10</v>
      </c>
      <c r="H14">
        <v>55</v>
      </c>
    </row>
    <row r="15" spans="1:8" x14ac:dyDescent="0.25">
      <c r="A15" s="21" t="s">
        <v>6</v>
      </c>
      <c r="B15">
        <v>520</v>
      </c>
      <c r="G15" s="21" t="s">
        <v>6</v>
      </c>
      <c r="H15">
        <v>520</v>
      </c>
    </row>
    <row r="16" spans="1:8" x14ac:dyDescent="0.25">
      <c r="A16" s="21" t="s">
        <v>14</v>
      </c>
      <c r="B16">
        <v>45</v>
      </c>
      <c r="G16" s="21" t="s">
        <v>14</v>
      </c>
      <c r="H16">
        <v>45</v>
      </c>
    </row>
    <row r="17" spans="1:15" ht="15.75" thickBot="1" x14ac:dyDescent="0.3">
      <c r="A17" s="21" t="s">
        <v>11</v>
      </c>
      <c r="B17">
        <v>40</v>
      </c>
      <c r="G17" s="21" t="s">
        <v>11</v>
      </c>
      <c r="H17">
        <v>40</v>
      </c>
      <c r="J17" s="35" t="s">
        <v>114</v>
      </c>
      <c r="K17" s="35"/>
      <c r="L17" s="35"/>
      <c r="M17" s="35"/>
      <c r="N17" s="35"/>
      <c r="O17" s="36">
        <f>3/(COUNT(H4:H18))</f>
        <v>0.2</v>
      </c>
    </row>
    <row r="18" spans="1:15" ht="16.5" thickTop="1" thickBot="1" x14ac:dyDescent="0.3">
      <c r="A18" s="21" t="s">
        <v>16</v>
      </c>
      <c r="B18">
        <v>45</v>
      </c>
      <c r="G18" s="21" t="s">
        <v>16</v>
      </c>
      <c r="H18">
        <v>45</v>
      </c>
      <c r="J18" s="35"/>
      <c r="K18" s="35"/>
      <c r="L18" s="35"/>
      <c r="M18" s="35"/>
      <c r="N18" s="35"/>
      <c r="O18" s="37"/>
    </row>
    <row r="19" spans="1:15" ht="15.75" thickTop="1" x14ac:dyDescent="0.25">
      <c r="A19" s="21" t="s">
        <v>33</v>
      </c>
      <c r="B19">
        <v>2500</v>
      </c>
    </row>
    <row r="21" spans="1:15" x14ac:dyDescent="0.25">
      <c r="K21" s="20" t="s">
        <v>32</v>
      </c>
      <c r="L21" t="s">
        <v>31</v>
      </c>
    </row>
    <row r="22" spans="1:15" x14ac:dyDescent="0.25">
      <c r="K22" s="45">
        <v>18</v>
      </c>
      <c r="L22" s="46">
        <v>375</v>
      </c>
    </row>
    <row r="23" spans="1:15" x14ac:dyDescent="0.25">
      <c r="K23" s="21">
        <v>12</v>
      </c>
      <c r="L23" s="43">
        <v>330</v>
      </c>
    </row>
    <row r="24" spans="1:15" x14ac:dyDescent="0.25">
      <c r="K24" s="21">
        <v>23</v>
      </c>
      <c r="L24" s="42">
        <v>230</v>
      </c>
    </row>
    <row r="25" spans="1:15" x14ac:dyDescent="0.25">
      <c r="K25" s="21">
        <v>20</v>
      </c>
      <c r="L25" s="42">
        <v>200</v>
      </c>
    </row>
    <row r="26" spans="1:15" x14ac:dyDescent="0.25">
      <c r="K26" s="21">
        <v>15</v>
      </c>
      <c r="L26" s="42">
        <v>200</v>
      </c>
    </row>
    <row r="27" spans="1:15" x14ac:dyDescent="0.25">
      <c r="K27" s="21">
        <v>17</v>
      </c>
      <c r="L27" s="42">
        <v>145</v>
      </c>
    </row>
    <row r="28" spans="1:15" x14ac:dyDescent="0.25">
      <c r="K28" s="21">
        <v>10</v>
      </c>
      <c r="L28" s="42">
        <v>145</v>
      </c>
    </row>
    <row r="29" spans="1:15" x14ac:dyDescent="0.25">
      <c r="K29" s="21">
        <v>5</v>
      </c>
      <c r="L29" s="42">
        <v>100</v>
      </c>
    </row>
    <row r="30" spans="1:15" x14ac:dyDescent="0.25">
      <c r="K30" s="21">
        <v>21</v>
      </c>
      <c r="L30" s="42">
        <v>90</v>
      </c>
    </row>
    <row r="31" spans="1:15" x14ac:dyDescent="0.25">
      <c r="K31" s="21">
        <v>4</v>
      </c>
      <c r="L31" s="42">
        <v>90</v>
      </c>
    </row>
    <row r="32" spans="1:15" x14ac:dyDescent="0.25">
      <c r="K32" s="21">
        <v>7</v>
      </c>
      <c r="L32" s="42">
        <v>60</v>
      </c>
    </row>
    <row r="33" spans="11:12" x14ac:dyDescent="0.25">
      <c r="K33" s="21">
        <v>19</v>
      </c>
      <c r="L33" s="42">
        <v>60</v>
      </c>
    </row>
    <row r="34" spans="11:12" x14ac:dyDescent="0.25">
      <c r="K34" s="21">
        <v>3</v>
      </c>
      <c r="L34" s="42">
        <v>60</v>
      </c>
    </row>
    <row r="35" spans="11:12" x14ac:dyDescent="0.25">
      <c r="K35" s="21">
        <v>2</v>
      </c>
      <c r="L35" s="42">
        <v>60</v>
      </c>
    </row>
    <row r="36" spans="11:12" x14ac:dyDescent="0.25">
      <c r="K36" s="21">
        <v>24</v>
      </c>
      <c r="L36" s="42">
        <v>55</v>
      </c>
    </row>
    <row r="37" spans="11:12" x14ac:dyDescent="0.25">
      <c r="K37" s="21">
        <v>9</v>
      </c>
      <c r="L37" s="42">
        <v>50</v>
      </c>
    </row>
    <row r="38" spans="11:12" x14ac:dyDescent="0.25">
      <c r="K38" s="21">
        <v>14</v>
      </c>
      <c r="L38" s="42">
        <v>45</v>
      </c>
    </row>
    <row r="39" spans="11:12" x14ac:dyDescent="0.25">
      <c r="K39" s="21">
        <v>11</v>
      </c>
      <c r="L39" s="42">
        <v>45</v>
      </c>
    </row>
    <row r="40" spans="11:12" x14ac:dyDescent="0.25">
      <c r="K40" s="21">
        <v>13</v>
      </c>
      <c r="L40" s="42">
        <v>40</v>
      </c>
    </row>
    <row r="41" spans="11:12" x14ac:dyDescent="0.25">
      <c r="K41" s="21">
        <v>6</v>
      </c>
      <c r="L41" s="42">
        <v>35</v>
      </c>
    </row>
    <row r="42" spans="11:12" x14ac:dyDescent="0.25">
      <c r="K42" s="21">
        <v>1</v>
      </c>
      <c r="L42" s="42">
        <v>30</v>
      </c>
    </row>
    <row r="43" spans="11:12" x14ac:dyDescent="0.25">
      <c r="K43" s="21">
        <v>22</v>
      </c>
      <c r="L43" s="42">
        <v>20</v>
      </c>
    </row>
    <row r="44" spans="11:12" x14ac:dyDescent="0.25">
      <c r="K44" s="21">
        <v>8</v>
      </c>
      <c r="L44" s="42">
        <v>15</v>
      </c>
    </row>
    <row r="45" spans="11:12" x14ac:dyDescent="0.25">
      <c r="K45" s="21">
        <v>25</v>
      </c>
      <c r="L45" s="42">
        <v>10</v>
      </c>
    </row>
    <row r="46" spans="11:12" x14ac:dyDescent="0.25">
      <c r="K46" s="21">
        <v>16</v>
      </c>
      <c r="L46" s="42">
        <v>10</v>
      </c>
    </row>
    <row r="47" spans="11:12" x14ac:dyDescent="0.25">
      <c r="K47" s="21" t="s">
        <v>33</v>
      </c>
      <c r="L47" s="42">
        <v>2500</v>
      </c>
    </row>
  </sheetData>
  <mergeCells count="2">
    <mergeCell ref="J17:N18"/>
    <mergeCell ref="O17:O18"/>
  </mergeCells>
  <pageMargins left="0.511811024" right="0.511811024" top="0.78740157499999996" bottom="0.78740157499999996" header="0.31496062000000002" footer="0.3149606200000000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4"/>
  <sheetViews>
    <sheetView topLeftCell="A2" workbookViewId="0">
      <selection activeCell="B2" sqref="B2:D94"/>
    </sheetView>
  </sheetViews>
  <sheetFormatPr defaultRowHeight="15" x14ac:dyDescent="0.25"/>
  <cols>
    <col min="2" max="3" width="8.140625" bestFit="1" customWidth="1"/>
    <col min="4" max="4" width="12.7109375" bestFit="1" customWidth="1"/>
    <col min="5" max="5" width="8.42578125" customWidth="1"/>
    <col min="13" max="13" width="11.42578125" customWidth="1"/>
    <col min="14" max="14" width="6" customWidth="1"/>
  </cols>
  <sheetData>
    <row r="1" spans="2:4" ht="15.75" thickBot="1" x14ac:dyDescent="0.3"/>
    <row r="2" spans="2:4" ht="39.75" thickBot="1" x14ac:dyDescent="0.3">
      <c r="B2" s="1" t="s">
        <v>0</v>
      </c>
      <c r="C2" s="1" t="s">
        <v>1</v>
      </c>
      <c r="D2" s="1" t="s">
        <v>2</v>
      </c>
    </row>
    <row r="3" spans="2:4" ht="15.75" thickBot="1" x14ac:dyDescent="0.3">
      <c r="B3" s="2">
        <v>1</v>
      </c>
      <c r="C3" s="2">
        <v>20</v>
      </c>
      <c r="D3" s="2" t="s">
        <v>3</v>
      </c>
    </row>
    <row r="4" spans="2:4" ht="15.75" thickBot="1" x14ac:dyDescent="0.3">
      <c r="B4" s="2">
        <v>1</v>
      </c>
      <c r="C4" s="2">
        <v>5</v>
      </c>
      <c r="D4" s="2" t="s">
        <v>4</v>
      </c>
    </row>
    <row r="5" spans="2:4" ht="15.75" thickBot="1" x14ac:dyDescent="0.3">
      <c r="B5" s="2">
        <v>1</v>
      </c>
      <c r="C5" s="2">
        <v>5</v>
      </c>
      <c r="D5" s="2" t="s">
        <v>5</v>
      </c>
    </row>
    <row r="6" spans="2:4" ht="15.75" thickBot="1" x14ac:dyDescent="0.3">
      <c r="B6" s="2">
        <v>2</v>
      </c>
      <c r="C6" s="2">
        <v>30</v>
      </c>
      <c r="D6" s="2" t="s">
        <v>6</v>
      </c>
    </row>
    <row r="7" spans="2:4" ht="15.75" thickBot="1" x14ac:dyDescent="0.3">
      <c r="B7" s="2">
        <v>2</v>
      </c>
      <c r="C7" s="2">
        <v>15</v>
      </c>
      <c r="D7" s="2" t="s">
        <v>7</v>
      </c>
    </row>
    <row r="8" spans="2:4" ht="15.75" thickBot="1" x14ac:dyDescent="0.3">
      <c r="B8" s="2">
        <v>2</v>
      </c>
      <c r="C8" s="2">
        <v>10</v>
      </c>
      <c r="D8" s="2" t="s">
        <v>8</v>
      </c>
    </row>
    <row r="9" spans="2:4" ht="27" thickBot="1" x14ac:dyDescent="0.3">
      <c r="B9" s="2">
        <v>2</v>
      </c>
      <c r="C9" s="2">
        <v>5</v>
      </c>
      <c r="D9" s="2" t="s">
        <v>9</v>
      </c>
    </row>
    <row r="10" spans="2:4" ht="15.75" thickBot="1" x14ac:dyDescent="0.3">
      <c r="B10" s="2">
        <v>3</v>
      </c>
      <c r="C10" s="2">
        <v>40</v>
      </c>
      <c r="D10" s="2" t="s">
        <v>3</v>
      </c>
    </row>
    <row r="11" spans="2:4" ht="15.75" thickBot="1" x14ac:dyDescent="0.3">
      <c r="B11" s="2">
        <v>3</v>
      </c>
      <c r="C11" s="2">
        <v>20</v>
      </c>
      <c r="D11" s="2" t="s">
        <v>6</v>
      </c>
    </row>
    <row r="12" spans="2:4" ht="15.75" thickBot="1" x14ac:dyDescent="0.3">
      <c r="B12" s="2">
        <v>4</v>
      </c>
      <c r="C12" s="2">
        <v>10</v>
      </c>
      <c r="D12" s="2" t="s">
        <v>3</v>
      </c>
    </row>
    <row r="13" spans="2:4" ht="15.75" thickBot="1" x14ac:dyDescent="0.3">
      <c r="B13" s="2">
        <v>4</v>
      </c>
      <c r="C13" s="2">
        <v>10</v>
      </c>
      <c r="D13" s="2" t="s">
        <v>6</v>
      </c>
    </row>
    <row r="14" spans="2:4" ht="15.75" thickBot="1" x14ac:dyDescent="0.3">
      <c r="B14" s="2">
        <v>4</v>
      </c>
      <c r="C14" s="2">
        <v>10</v>
      </c>
      <c r="D14" s="2" t="s">
        <v>7</v>
      </c>
    </row>
    <row r="15" spans="2:4" ht="15.75" thickBot="1" x14ac:dyDescent="0.3">
      <c r="B15" s="2">
        <v>4</v>
      </c>
      <c r="C15" s="2">
        <v>5</v>
      </c>
      <c r="D15" s="2" t="s">
        <v>10</v>
      </c>
    </row>
    <row r="16" spans="2:4" ht="15.75" thickBot="1" x14ac:dyDescent="0.3">
      <c r="B16" s="2">
        <v>4</v>
      </c>
      <c r="C16" s="2">
        <v>5</v>
      </c>
      <c r="D16" s="2" t="s">
        <v>4</v>
      </c>
    </row>
    <row r="17" spans="2:4" ht="15.75" thickBot="1" x14ac:dyDescent="0.3">
      <c r="B17" s="2">
        <v>4</v>
      </c>
      <c r="C17" s="2">
        <v>5</v>
      </c>
      <c r="D17" s="2" t="s">
        <v>11</v>
      </c>
    </row>
    <row r="18" spans="2:4" ht="15.75" thickBot="1" x14ac:dyDescent="0.3">
      <c r="B18" s="2">
        <v>4</v>
      </c>
      <c r="C18" s="2">
        <v>5</v>
      </c>
      <c r="D18" s="2" t="s">
        <v>12</v>
      </c>
    </row>
    <row r="19" spans="2:4" ht="15.75" thickBot="1" x14ac:dyDescent="0.3">
      <c r="B19" s="2">
        <v>4</v>
      </c>
      <c r="C19" s="2">
        <v>5</v>
      </c>
      <c r="D19" s="2" t="s">
        <v>13</v>
      </c>
    </row>
    <row r="20" spans="2:4" ht="15.75" thickBot="1" x14ac:dyDescent="0.3">
      <c r="B20" s="2">
        <v>4</v>
      </c>
      <c r="C20" s="2">
        <v>5</v>
      </c>
      <c r="D20" s="2" t="s">
        <v>8</v>
      </c>
    </row>
    <row r="21" spans="2:4" ht="27" thickBot="1" x14ac:dyDescent="0.3">
      <c r="B21" s="2">
        <v>4</v>
      </c>
      <c r="C21" s="2">
        <v>5</v>
      </c>
      <c r="D21" s="2" t="s">
        <v>9</v>
      </c>
    </row>
    <row r="22" spans="2:4" ht="15.75" thickBot="1" x14ac:dyDescent="0.3">
      <c r="B22" s="2">
        <v>4</v>
      </c>
      <c r="C22" s="2">
        <v>5</v>
      </c>
      <c r="D22" s="2" t="s">
        <v>14</v>
      </c>
    </row>
    <row r="23" spans="2:4" ht="15.75" thickBot="1" x14ac:dyDescent="0.3">
      <c r="B23" s="2">
        <v>4</v>
      </c>
      <c r="C23" s="2">
        <v>5</v>
      </c>
      <c r="D23" s="2" t="s">
        <v>15</v>
      </c>
    </row>
    <row r="24" spans="2:4" ht="15.75" thickBot="1" x14ac:dyDescent="0.3">
      <c r="B24" s="2">
        <v>4</v>
      </c>
      <c r="C24" s="2">
        <v>5</v>
      </c>
      <c r="D24" s="2" t="s">
        <v>5</v>
      </c>
    </row>
    <row r="25" spans="2:4" ht="15.75" thickBot="1" x14ac:dyDescent="0.3">
      <c r="B25" s="2">
        <v>4</v>
      </c>
      <c r="C25" s="2">
        <v>5</v>
      </c>
      <c r="D25" s="2" t="s">
        <v>16</v>
      </c>
    </row>
    <row r="26" spans="2:4" ht="15.75" thickBot="1" x14ac:dyDescent="0.3">
      <c r="B26" s="2">
        <v>4</v>
      </c>
      <c r="C26" s="2">
        <v>5</v>
      </c>
      <c r="D26" s="2" t="s">
        <v>17</v>
      </c>
    </row>
    <row r="27" spans="2:4" ht="15.75" thickBot="1" x14ac:dyDescent="0.3">
      <c r="B27" s="2">
        <v>5</v>
      </c>
      <c r="C27" s="2">
        <v>50</v>
      </c>
      <c r="D27" s="2" t="s">
        <v>3</v>
      </c>
    </row>
    <row r="28" spans="2:4" ht="15.75" thickBot="1" x14ac:dyDescent="0.3">
      <c r="B28" s="2">
        <v>5</v>
      </c>
      <c r="C28" s="2">
        <v>20</v>
      </c>
      <c r="D28" s="2" t="s">
        <v>13</v>
      </c>
    </row>
    <row r="29" spans="2:4" ht="15.75" thickBot="1" x14ac:dyDescent="0.3">
      <c r="B29" s="2">
        <v>5</v>
      </c>
      <c r="C29" s="2">
        <v>20</v>
      </c>
      <c r="D29" s="2" t="s">
        <v>6</v>
      </c>
    </row>
    <row r="30" spans="2:4" ht="15.75" thickBot="1" x14ac:dyDescent="0.3">
      <c r="B30" s="2">
        <v>5</v>
      </c>
      <c r="C30" s="2">
        <v>10</v>
      </c>
      <c r="D30" s="2" t="s">
        <v>7</v>
      </c>
    </row>
    <row r="31" spans="2:4" ht="15.75" thickBot="1" x14ac:dyDescent="0.3">
      <c r="B31" s="2">
        <v>6</v>
      </c>
      <c r="C31" s="2">
        <v>35</v>
      </c>
      <c r="D31" s="2" t="s">
        <v>7</v>
      </c>
    </row>
    <row r="32" spans="2:4" ht="15.75" thickBot="1" x14ac:dyDescent="0.3">
      <c r="B32" s="2">
        <v>7</v>
      </c>
      <c r="C32" s="2">
        <v>20</v>
      </c>
      <c r="D32" s="2" t="s">
        <v>3</v>
      </c>
    </row>
    <row r="33" spans="2:4" ht="15.75" thickBot="1" x14ac:dyDescent="0.3">
      <c r="B33" s="2">
        <v>7</v>
      </c>
      <c r="C33" s="2">
        <v>20</v>
      </c>
      <c r="D33" s="2" t="s">
        <v>6</v>
      </c>
    </row>
    <row r="34" spans="2:4" ht="15.75" thickBot="1" x14ac:dyDescent="0.3">
      <c r="B34" s="2">
        <v>7</v>
      </c>
      <c r="C34" s="2">
        <v>10</v>
      </c>
      <c r="D34" s="2" t="s">
        <v>5</v>
      </c>
    </row>
    <row r="35" spans="2:4" ht="15.75" thickBot="1" x14ac:dyDescent="0.3">
      <c r="B35" s="2">
        <v>7</v>
      </c>
      <c r="C35" s="2">
        <v>10</v>
      </c>
      <c r="D35" s="2" t="s">
        <v>11</v>
      </c>
    </row>
    <row r="36" spans="2:4" ht="15.75" thickBot="1" x14ac:dyDescent="0.3">
      <c r="B36" s="2">
        <v>8</v>
      </c>
      <c r="C36" s="2">
        <v>10</v>
      </c>
      <c r="D36" s="2" t="s">
        <v>16</v>
      </c>
    </row>
    <row r="37" spans="2:4" ht="15.75" thickBot="1" x14ac:dyDescent="0.3">
      <c r="B37" s="2">
        <v>8</v>
      </c>
      <c r="C37" s="2">
        <v>5</v>
      </c>
      <c r="D37" s="2" t="s">
        <v>15</v>
      </c>
    </row>
    <row r="38" spans="2:4" ht="15.75" thickBot="1" x14ac:dyDescent="0.3">
      <c r="B38" s="2">
        <v>9</v>
      </c>
      <c r="C38" s="2">
        <v>50</v>
      </c>
      <c r="D38" s="2" t="s">
        <v>6</v>
      </c>
    </row>
    <row r="39" spans="2:4" ht="15.75" thickBot="1" x14ac:dyDescent="0.3">
      <c r="B39" s="2">
        <v>10</v>
      </c>
      <c r="C39" s="2">
        <v>65</v>
      </c>
      <c r="D39" s="2" t="s">
        <v>3</v>
      </c>
    </row>
    <row r="40" spans="2:4" ht="15.75" thickBot="1" x14ac:dyDescent="0.3">
      <c r="B40" s="2">
        <v>10</v>
      </c>
      <c r="C40" s="2">
        <v>30</v>
      </c>
      <c r="D40" s="2" t="s">
        <v>7</v>
      </c>
    </row>
    <row r="41" spans="2:4" ht="15.75" thickBot="1" x14ac:dyDescent="0.3">
      <c r="B41" s="2">
        <v>10</v>
      </c>
      <c r="C41" s="2">
        <v>10</v>
      </c>
      <c r="D41" s="2" t="s">
        <v>12</v>
      </c>
    </row>
    <row r="42" spans="2:4" ht="15.75" thickBot="1" x14ac:dyDescent="0.3">
      <c r="B42" s="2">
        <v>10</v>
      </c>
      <c r="C42" s="2">
        <v>10</v>
      </c>
      <c r="D42" s="2" t="s">
        <v>8</v>
      </c>
    </row>
    <row r="43" spans="2:4" ht="15.75" thickBot="1" x14ac:dyDescent="0.3">
      <c r="B43" s="2">
        <v>10</v>
      </c>
      <c r="C43" s="2">
        <v>10</v>
      </c>
      <c r="D43" s="2" t="s">
        <v>5</v>
      </c>
    </row>
    <row r="44" spans="2:4" ht="27" thickBot="1" x14ac:dyDescent="0.3">
      <c r="B44" s="2">
        <v>10</v>
      </c>
      <c r="C44" s="2">
        <v>10</v>
      </c>
      <c r="D44" s="2" t="s">
        <v>9</v>
      </c>
    </row>
    <row r="45" spans="2:4" ht="15.75" thickBot="1" x14ac:dyDescent="0.3">
      <c r="B45" s="2">
        <v>10</v>
      </c>
      <c r="C45" s="2">
        <v>10</v>
      </c>
      <c r="D45" s="2" t="s">
        <v>6</v>
      </c>
    </row>
    <row r="46" spans="2:4" ht="15.75" thickBot="1" x14ac:dyDescent="0.3">
      <c r="B46" s="2">
        <v>11</v>
      </c>
      <c r="C46" s="2">
        <v>35</v>
      </c>
      <c r="D46" s="2" t="s">
        <v>3</v>
      </c>
    </row>
    <row r="47" spans="2:4" ht="15.75" thickBot="1" x14ac:dyDescent="0.3">
      <c r="B47" s="2">
        <v>11</v>
      </c>
      <c r="C47" s="2">
        <v>5</v>
      </c>
      <c r="D47" s="2" t="s">
        <v>10</v>
      </c>
    </row>
    <row r="48" spans="2:4" ht="15.75" thickBot="1" x14ac:dyDescent="0.3">
      <c r="B48" s="2">
        <v>11</v>
      </c>
      <c r="C48" s="2">
        <v>5</v>
      </c>
      <c r="D48" s="2" t="s">
        <v>14</v>
      </c>
    </row>
    <row r="49" spans="2:4" ht="15.75" thickBot="1" x14ac:dyDescent="0.3">
      <c r="B49" s="2">
        <v>12</v>
      </c>
      <c r="C49" s="2">
        <v>150</v>
      </c>
      <c r="D49" s="2" t="s">
        <v>3</v>
      </c>
    </row>
    <row r="50" spans="2:4" ht="15.75" thickBot="1" x14ac:dyDescent="0.3">
      <c r="B50" s="2">
        <v>12</v>
      </c>
      <c r="C50" s="2">
        <v>120</v>
      </c>
      <c r="D50" s="2" t="s">
        <v>7</v>
      </c>
    </row>
    <row r="51" spans="2:4" ht="15.75" thickBot="1" x14ac:dyDescent="0.3">
      <c r="B51" s="2">
        <v>12</v>
      </c>
      <c r="C51" s="2">
        <v>30</v>
      </c>
      <c r="D51" s="2" t="s">
        <v>6</v>
      </c>
    </row>
    <row r="52" spans="2:4" ht="27" thickBot="1" x14ac:dyDescent="0.3">
      <c r="B52" s="2">
        <v>12</v>
      </c>
      <c r="C52" s="2">
        <v>30</v>
      </c>
      <c r="D52" s="2" t="s">
        <v>9</v>
      </c>
    </row>
    <row r="53" spans="2:4" ht="15.75" thickBot="1" x14ac:dyDescent="0.3">
      <c r="B53" s="2">
        <v>13</v>
      </c>
      <c r="C53" s="2">
        <v>20</v>
      </c>
      <c r="D53" s="2" t="s">
        <v>3</v>
      </c>
    </row>
    <row r="54" spans="2:4" ht="15.75" thickBot="1" x14ac:dyDescent="0.3">
      <c r="B54" s="2">
        <v>13</v>
      </c>
      <c r="C54" s="2">
        <v>20</v>
      </c>
      <c r="D54" s="2" t="s">
        <v>10</v>
      </c>
    </row>
    <row r="55" spans="2:4" ht="15.75" thickBot="1" x14ac:dyDescent="0.3">
      <c r="B55" s="2">
        <v>14</v>
      </c>
      <c r="C55" s="2">
        <v>15</v>
      </c>
      <c r="D55" s="2" t="s">
        <v>7</v>
      </c>
    </row>
    <row r="56" spans="2:4" ht="15.75" thickBot="1" x14ac:dyDescent="0.3">
      <c r="B56" s="2">
        <v>14</v>
      </c>
      <c r="C56" s="2">
        <v>10</v>
      </c>
      <c r="D56" s="2" t="s">
        <v>6</v>
      </c>
    </row>
    <row r="57" spans="2:4" ht="15.75" thickBot="1" x14ac:dyDescent="0.3">
      <c r="B57" s="2">
        <v>14</v>
      </c>
      <c r="C57" s="2">
        <v>10</v>
      </c>
      <c r="D57" s="2" t="s">
        <v>8</v>
      </c>
    </row>
    <row r="58" spans="2:4" ht="15.75" thickBot="1" x14ac:dyDescent="0.3">
      <c r="B58" s="2">
        <v>14</v>
      </c>
      <c r="C58" s="2">
        <v>10</v>
      </c>
      <c r="D58" s="2" t="s">
        <v>17</v>
      </c>
    </row>
    <row r="59" spans="2:4" ht="15.75" thickBot="1" x14ac:dyDescent="0.3">
      <c r="B59" s="2">
        <v>15</v>
      </c>
      <c r="C59" s="2">
        <v>200</v>
      </c>
      <c r="D59" s="2" t="s">
        <v>3</v>
      </c>
    </row>
    <row r="60" spans="2:4" ht="15.75" thickBot="1" x14ac:dyDescent="0.3">
      <c r="B60" s="2">
        <v>16</v>
      </c>
      <c r="C60" s="2">
        <v>5</v>
      </c>
      <c r="D60" s="2" t="s">
        <v>7</v>
      </c>
    </row>
    <row r="61" spans="2:4" ht="15.75" thickBot="1" x14ac:dyDescent="0.3">
      <c r="B61" s="2">
        <v>16</v>
      </c>
      <c r="C61" s="2">
        <v>5</v>
      </c>
      <c r="D61" s="2" t="s">
        <v>5</v>
      </c>
    </row>
    <row r="62" spans="2:4" ht="15.75" thickBot="1" x14ac:dyDescent="0.3">
      <c r="B62" s="2">
        <v>17</v>
      </c>
      <c r="C62" s="2">
        <v>50</v>
      </c>
      <c r="D62" s="2" t="s">
        <v>3</v>
      </c>
    </row>
    <row r="63" spans="2:4" ht="15.75" thickBot="1" x14ac:dyDescent="0.3">
      <c r="B63" s="2">
        <v>17</v>
      </c>
      <c r="C63" s="2">
        <v>45</v>
      </c>
      <c r="D63" s="2" t="s">
        <v>6</v>
      </c>
    </row>
    <row r="64" spans="2:4" ht="15.75" thickBot="1" x14ac:dyDescent="0.3">
      <c r="B64" s="2">
        <v>17</v>
      </c>
      <c r="C64" s="2">
        <v>25</v>
      </c>
      <c r="D64" s="2" t="s">
        <v>4</v>
      </c>
    </row>
    <row r="65" spans="2:4" ht="15.75" thickBot="1" x14ac:dyDescent="0.3">
      <c r="B65" s="2">
        <v>17</v>
      </c>
      <c r="C65" s="2">
        <v>15</v>
      </c>
      <c r="D65" s="2" t="s">
        <v>8</v>
      </c>
    </row>
    <row r="66" spans="2:4" ht="15.75" thickBot="1" x14ac:dyDescent="0.3">
      <c r="B66" s="2">
        <v>17</v>
      </c>
      <c r="C66" s="2">
        <v>5</v>
      </c>
      <c r="D66" s="2" t="s">
        <v>7</v>
      </c>
    </row>
    <row r="67" spans="2:4" ht="15.75" thickBot="1" x14ac:dyDescent="0.3">
      <c r="B67" s="2">
        <v>17</v>
      </c>
      <c r="C67" s="2">
        <v>5</v>
      </c>
      <c r="D67" s="2" t="s">
        <v>11</v>
      </c>
    </row>
    <row r="68" spans="2:4" ht="15.75" thickBot="1" x14ac:dyDescent="0.3">
      <c r="B68" s="2">
        <v>18</v>
      </c>
      <c r="C68" s="2">
        <v>100</v>
      </c>
      <c r="D68" s="2" t="s">
        <v>3</v>
      </c>
    </row>
    <row r="69" spans="2:4" ht="15.75" thickBot="1" x14ac:dyDescent="0.3">
      <c r="B69" s="2">
        <v>18</v>
      </c>
      <c r="C69" s="2">
        <v>100</v>
      </c>
      <c r="D69" s="2" t="s">
        <v>6</v>
      </c>
    </row>
    <row r="70" spans="2:4" ht="15.75" thickBot="1" x14ac:dyDescent="0.3">
      <c r="B70" s="2">
        <v>18</v>
      </c>
      <c r="C70" s="2">
        <v>75</v>
      </c>
      <c r="D70" s="2" t="s">
        <v>7</v>
      </c>
    </row>
    <row r="71" spans="2:4" ht="15.75" thickBot="1" x14ac:dyDescent="0.3">
      <c r="B71" s="2">
        <v>18</v>
      </c>
      <c r="C71" s="2">
        <v>25</v>
      </c>
      <c r="D71" s="2" t="s">
        <v>10</v>
      </c>
    </row>
    <row r="72" spans="2:4" ht="15.75" thickBot="1" x14ac:dyDescent="0.3">
      <c r="B72" s="2">
        <v>18</v>
      </c>
      <c r="C72" s="2">
        <v>25</v>
      </c>
      <c r="D72" s="2" t="s">
        <v>4</v>
      </c>
    </row>
    <row r="73" spans="2:4" ht="15.75" thickBot="1" x14ac:dyDescent="0.3">
      <c r="B73" s="2">
        <v>18</v>
      </c>
      <c r="C73" s="2">
        <v>15</v>
      </c>
      <c r="D73" s="2" t="s">
        <v>15</v>
      </c>
    </row>
    <row r="74" spans="2:4" ht="15.75" thickBot="1" x14ac:dyDescent="0.3">
      <c r="B74" s="2">
        <v>18</v>
      </c>
      <c r="C74" s="2">
        <v>15</v>
      </c>
      <c r="D74" s="2" t="s">
        <v>5</v>
      </c>
    </row>
    <row r="75" spans="2:4" ht="15.75" thickBot="1" x14ac:dyDescent="0.3">
      <c r="B75" s="2">
        <v>18</v>
      </c>
      <c r="C75" s="2">
        <v>10</v>
      </c>
      <c r="D75" s="2" t="s">
        <v>16</v>
      </c>
    </row>
    <row r="76" spans="2:4" ht="15.75" thickBot="1" x14ac:dyDescent="0.3">
      <c r="B76" s="2">
        <v>18</v>
      </c>
      <c r="C76" s="2">
        <v>10</v>
      </c>
      <c r="D76" s="2" t="s">
        <v>17</v>
      </c>
    </row>
    <row r="77" spans="2:4" ht="15.75" thickBot="1" x14ac:dyDescent="0.3">
      <c r="B77" s="2">
        <v>19</v>
      </c>
      <c r="C77" s="2">
        <v>30</v>
      </c>
      <c r="D77" s="2" t="s">
        <v>3</v>
      </c>
    </row>
    <row r="78" spans="2:4" ht="15.75" thickBot="1" x14ac:dyDescent="0.3">
      <c r="B78" s="2">
        <v>19</v>
      </c>
      <c r="C78" s="2">
        <v>10</v>
      </c>
      <c r="D78" s="2" t="s">
        <v>14</v>
      </c>
    </row>
    <row r="79" spans="2:4" ht="15.75" thickBot="1" x14ac:dyDescent="0.3">
      <c r="B79" s="2">
        <v>19</v>
      </c>
      <c r="C79" s="2">
        <v>15</v>
      </c>
      <c r="D79" s="2" t="s">
        <v>7</v>
      </c>
    </row>
    <row r="80" spans="2:4" ht="15.75" thickBot="1" x14ac:dyDescent="0.3">
      <c r="B80" s="2">
        <v>19</v>
      </c>
      <c r="C80" s="2">
        <v>5</v>
      </c>
      <c r="D80" s="2" t="s">
        <v>12</v>
      </c>
    </row>
    <row r="81" spans="2:4" ht="15.75" thickBot="1" x14ac:dyDescent="0.3">
      <c r="B81" s="2">
        <v>20</v>
      </c>
      <c r="C81" s="2">
        <v>200</v>
      </c>
      <c r="D81" s="2" t="s">
        <v>7</v>
      </c>
    </row>
    <row r="82" spans="2:4" ht="15.75" thickBot="1" x14ac:dyDescent="0.3">
      <c r="B82" s="2">
        <v>21</v>
      </c>
      <c r="C82" s="2">
        <v>55</v>
      </c>
      <c r="D82" s="2" t="s">
        <v>6</v>
      </c>
    </row>
    <row r="83" spans="2:4" ht="15.75" thickBot="1" x14ac:dyDescent="0.3">
      <c r="B83" s="2">
        <v>21</v>
      </c>
      <c r="C83" s="2">
        <v>25</v>
      </c>
      <c r="D83" s="2" t="s">
        <v>14</v>
      </c>
    </row>
    <row r="84" spans="2:4" ht="15.75" thickBot="1" x14ac:dyDescent="0.3">
      <c r="B84" s="2">
        <v>21</v>
      </c>
      <c r="C84" s="2">
        <v>10</v>
      </c>
      <c r="D84" s="2" t="s">
        <v>16</v>
      </c>
    </row>
    <row r="85" spans="2:4" ht="15.75" thickBot="1" x14ac:dyDescent="0.3">
      <c r="B85" s="2">
        <v>22</v>
      </c>
      <c r="C85" s="2">
        <v>15</v>
      </c>
      <c r="D85" s="2" t="s">
        <v>3</v>
      </c>
    </row>
    <row r="86" spans="2:4" ht="15.75" thickBot="1" x14ac:dyDescent="0.3">
      <c r="B86" s="2">
        <v>22</v>
      </c>
      <c r="C86" s="2">
        <v>5</v>
      </c>
      <c r="D86" s="2" t="s">
        <v>8</v>
      </c>
    </row>
    <row r="87" spans="2:4" ht="15.75" thickBot="1" x14ac:dyDescent="0.3">
      <c r="B87" s="2">
        <v>23</v>
      </c>
      <c r="C87" s="2">
        <v>120</v>
      </c>
      <c r="D87" s="2" t="s">
        <v>6</v>
      </c>
    </row>
    <row r="88" spans="2:4" ht="15.75" thickBot="1" x14ac:dyDescent="0.3">
      <c r="B88" s="2">
        <v>23</v>
      </c>
      <c r="C88" s="2">
        <v>80</v>
      </c>
      <c r="D88" s="2" t="s">
        <v>3</v>
      </c>
    </row>
    <row r="89" spans="2:4" ht="15.75" thickBot="1" x14ac:dyDescent="0.3">
      <c r="B89" s="2">
        <v>23</v>
      </c>
      <c r="C89" s="2">
        <v>20</v>
      </c>
      <c r="D89" s="2" t="s">
        <v>11</v>
      </c>
    </row>
    <row r="90" spans="2:4" ht="15.75" thickBot="1" x14ac:dyDescent="0.3">
      <c r="B90" s="2">
        <v>23</v>
      </c>
      <c r="C90" s="2">
        <v>10</v>
      </c>
      <c r="D90" s="2" t="s">
        <v>16</v>
      </c>
    </row>
    <row r="91" spans="2:4" ht="15.75" thickBot="1" x14ac:dyDescent="0.3">
      <c r="B91" s="2">
        <v>24</v>
      </c>
      <c r="C91" s="2">
        <v>35</v>
      </c>
      <c r="D91" s="2" t="s">
        <v>3</v>
      </c>
    </row>
    <row r="92" spans="2:4" ht="15.75" thickBot="1" x14ac:dyDescent="0.3">
      <c r="B92" s="2">
        <v>24</v>
      </c>
      <c r="C92" s="2">
        <v>15</v>
      </c>
      <c r="D92" s="2" t="s">
        <v>7</v>
      </c>
    </row>
    <row r="93" spans="2:4" ht="15.75" thickBot="1" x14ac:dyDescent="0.3">
      <c r="B93" s="2">
        <v>24</v>
      </c>
      <c r="C93" s="2">
        <v>5</v>
      </c>
      <c r="D93" s="2" t="s">
        <v>12</v>
      </c>
    </row>
    <row r="94" spans="2:4" ht="15.75" thickBot="1" x14ac:dyDescent="0.3">
      <c r="B94" s="2">
        <v>25</v>
      </c>
      <c r="C94" s="2">
        <v>10</v>
      </c>
      <c r="D94" s="2" t="s">
        <v>7</v>
      </c>
    </row>
  </sheetData>
  <autoFilter ref="B2:D94" xr:uid="{00000000-0001-0000-00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3DF9-B6FE-4B24-BE30-EDA6D3C50647}">
  <dimension ref="A1:W32"/>
  <sheetViews>
    <sheetView workbookViewId="0">
      <selection activeCell="B32" sqref="B32"/>
    </sheetView>
  </sheetViews>
  <sheetFormatPr defaultRowHeight="15" x14ac:dyDescent="0.25"/>
  <cols>
    <col min="1" max="1" width="3.28515625" customWidth="1"/>
    <col min="2" max="2" width="14.28515625" customWidth="1"/>
    <col min="3" max="3" width="8.42578125" customWidth="1"/>
    <col min="4" max="4" width="12.140625" customWidth="1"/>
    <col min="5" max="5" width="15.42578125" customWidth="1"/>
    <col min="6" max="6" width="8.85546875" customWidth="1"/>
    <col min="7" max="7" width="10.28515625" customWidth="1"/>
    <col min="8" max="8" width="9.85546875" customWidth="1"/>
    <col min="14" max="14" width="8.5703125" customWidth="1"/>
    <col min="22" max="22" width="21.85546875" customWidth="1"/>
    <col min="23" max="23" width="17.140625" customWidth="1"/>
  </cols>
  <sheetData>
    <row r="1" spans="1:23" ht="15.75" thickBot="1" x14ac:dyDescent="0.3">
      <c r="A1" s="5"/>
      <c r="B1" s="6"/>
      <c r="C1" s="6"/>
      <c r="D1" s="7"/>
      <c r="E1" s="6"/>
      <c r="F1" s="6"/>
      <c r="P1" s="48" t="s">
        <v>119</v>
      </c>
      <c r="Q1" s="48"/>
      <c r="R1" s="48"/>
      <c r="S1" s="48"/>
      <c r="T1" s="48"/>
      <c r="U1" s="48"/>
      <c r="V1" s="48"/>
      <c r="W1" s="48"/>
    </row>
    <row r="2" spans="1:23" ht="26.25" thickBot="1" x14ac:dyDescent="0.3">
      <c r="A2" s="8"/>
      <c r="B2" s="9" t="s">
        <v>85</v>
      </c>
      <c r="C2" s="10" t="s">
        <v>24</v>
      </c>
      <c r="D2" s="8"/>
      <c r="E2" s="9" t="s">
        <v>86</v>
      </c>
      <c r="F2" s="10" t="s">
        <v>24</v>
      </c>
    </row>
    <row r="3" spans="1:23" ht="15.75" thickBot="1" x14ac:dyDescent="0.3">
      <c r="A3" s="8"/>
      <c r="B3" s="11">
        <v>0.6</v>
      </c>
      <c r="C3" s="12">
        <v>0</v>
      </c>
      <c r="D3" s="8"/>
      <c r="E3" s="11">
        <v>1</v>
      </c>
      <c r="F3" s="12">
        <v>3.5</v>
      </c>
    </row>
    <row r="4" spans="1:23" ht="15.75" thickBot="1" x14ac:dyDescent="0.3">
      <c r="A4" s="8"/>
      <c r="B4" s="11">
        <v>1.2</v>
      </c>
      <c r="C4" s="12">
        <v>0</v>
      </c>
      <c r="D4" s="8"/>
      <c r="E4" s="11">
        <v>1.3</v>
      </c>
      <c r="F4" s="12">
        <v>3.8</v>
      </c>
    </row>
    <row r="5" spans="1:23" ht="15.75" thickBot="1" x14ac:dyDescent="0.3">
      <c r="A5" s="8"/>
      <c r="B5" s="11">
        <v>1.8</v>
      </c>
      <c r="C5" s="12">
        <v>1</v>
      </c>
      <c r="D5" s="8"/>
      <c r="E5" s="11">
        <v>1.6</v>
      </c>
      <c r="F5" s="12">
        <v>4</v>
      </c>
    </row>
    <row r="6" spans="1:23" ht="15.75" thickBot="1" x14ac:dyDescent="0.3">
      <c r="A6" s="8"/>
      <c r="B6" s="11">
        <v>2.4</v>
      </c>
      <c r="C6" s="12">
        <v>1.2</v>
      </c>
      <c r="D6" s="8"/>
      <c r="E6" s="11">
        <v>1.9</v>
      </c>
      <c r="F6" s="12">
        <v>4.5</v>
      </c>
    </row>
    <row r="7" spans="1:23" ht="15.75" thickBot="1" x14ac:dyDescent="0.3">
      <c r="A7" s="22"/>
      <c r="B7" s="23">
        <v>3</v>
      </c>
      <c r="C7" s="24">
        <v>1.6</v>
      </c>
      <c r="D7" s="8"/>
      <c r="E7" s="11">
        <v>2.2000000000000002</v>
      </c>
      <c r="F7" s="12">
        <v>5.2</v>
      </c>
    </row>
    <row r="8" spans="1:23" ht="15.75" thickBot="1" x14ac:dyDescent="0.3">
      <c r="A8" s="22"/>
      <c r="B8" s="23">
        <v>3.6</v>
      </c>
      <c r="C8" s="24">
        <v>1.8</v>
      </c>
      <c r="D8" s="8"/>
      <c r="E8" s="11">
        <v>2.5</v>
      </c>
      <c r="F8" s="12">
        <v>5.9</v>
      </c>
    </row>
    <row r="9" spans="1:23" ht="15.75" thickBot="1" x14ac:dyDescent="0.3">
      <c r="A9" s="8"/>
      <c r="B9" s="11">
        <v>4.2</v>
      </c>
      <c r="C9" s="12">
        <v>2.4</v>
      </c>
      <c r="D9" s="8"/>
      <c r="E9" s="11">
        <v>2.8</v>
      </c>
      <c r="F9" s="12">
        <v>6.3</v>
      </c>
    </row>
    <row r="10" spans="1:23" ht="15.75" thickBot="1" x14ac:dyDescent="0.3">
      <c r="A10" s="8"/>
      <c r="B10" s="11">
        <v>4.8</v>
      </c>
      <c r="C10" s="12">
        <v>2.8</v>
      </c>
      <c r="D10" s="22"/>
      <c r="E10" s="11">
        <v>3.1</v>
      </c>
      <c r="F10" s="12">
        <v>6.8</v>
      </c>
    </row>
    <row r="11" spans="1:23" ht="15.75" thickBot="1" x14ac:dyDescent="0.3">
      <c r="A11" s="8"/>
      <c r="B11" s="11">
        <v>5.4</v>
      </c>
      <c r="C11" s="12">
        <v>3.5</v>
      </c>
      <c r="D11" s="22"/>
      <c r="E11" s="23">
        <v>3.4</v>
      </c>
      <c r="F11" s="24">
        <v>7.4</v>
      </c>
    </row>
    <row r="12" spans="1:23" ht="15.75" thickBot="1" x14ac:dyDescent="0.3">
      <c r="A12" s="8"/>
      <c r="B12" s="13">
        <v>6</v>
      </c>
      <c r="C12" s="14">
        <v>3.8</v>
      </c>
      <c r="D12" s="8"/>
      <c r="E12" s="13">
        <v>3.7</v>
      </c>
      <c r="F12" s="14">
        <v>8</v>
      </c>
    </row>
    <row r="13" spans="1:23" ht="15.75" thickBot="1" x14ac:dyDescent="0.3">
      <c r="A13" s="5"/>
      <c r="B13" s="25">
        <f>AVERAGE(B3:B12)</f>
        <v>3.3</v>
      </c>
      <c r="C13" s="15">
        <f>AVERAGE(C3:C12)</f>
        <v>1.81</v>
      </c>
      <c r="D13" s="5"/>
      <c r="E13" s="25">
        <f>AVERAGE(E3:E12)</f>
        <v>2.35</v>
      </c>
      <c r="F13" s="7">
        <f>AVERAGE(F3:F12)</f>
        <v>5.5399999999999991</v>
      </c>
    </row>
    <row r="14" spans="1:23" ht="26.25" thickBot="1" x14ac:dyDescent="0.3">
      <c r="A14" s="8"/>
      <c r="B14" s="10" t="s">
        <v>87</v>
      </c>
      <c r="C14" s="10" t="s">
        <v>24</v>
      </c>
    </row>
    <row r="15" spans="1:23" ht="15.75" thickBot="1" x14ac:dyDescent="0.3">
      <c r="A15" s="8"/>
      <c r="B15" s="11">
        <v>1.2</v>
      </c>
      <c r="C15" s="12">
        <v>1</v>
      </c>
    </row>
    <row r="16" spans="1:23" ht="15.75" thickBot="1" x14ac:dyDescent="0.3">
      <c r="A16" s="8"/>
      <c r="B16" s="11">
        <v>1.7</v>
      </c>
      <c r="C16" s="12">
        <v>1.5</v>
      </c>
    </row>
    <row r="17" spans="1:5" ht="15.75" thickBot="1" x14ac:dyDescent="0.3">
      <c r="A17" s="8"/>
      <c r="B17" s="11">
        <v>2.2000000000000002</v>
      </c>
      <c r="C17" s="12">
        <v>2</v>
      </c>
    </row>
    <row r="18" spans="1:5" ht="15.75" thickBot="1" x14ac:dyDescent="0.3">
      <c r="A18" s="8"/>
      <c r="B18" s="11">
        <v>2.7</v>
      </c>
      <c r="C18" s="12">
        <v>3</v>
      </c>
    </row>
    <row r="19" spans="1:5" ht="15.75" thickBot="1" x14ac:dyDescent="0.3">
      <c r="A19" s="22"/>
      <c r="B19" s="23">
        <v>3.2</v>
      </c>
      <c r="C19" s="24">
        <v>3.4</v>
      </c>
    </row>
    <row r="20" spans="1:5" ht="15.75" thickBot="1" x14ac:dyDescent="0.3">
      <c r="A20" s="22"/>
      <c r="B20" s="52"/>
      <c r="C20" s="53"/>
    </row>
    <row r="21" spans="1:5" ht="15.75" thickBot="1" x14ac:dyDescent="0.3">
      <c r="A21" s="22"/>
      <c r="B21" s="23">
        <v>3.7</v>
      </c>
      <c r="C21" s="24">
        <v>3.8</v>
      </c>
    </row>
    <row r="22" spans="1:5" ht="15.75" thickBot="1" x14ac:dyDescent="0.3">
      <c r="A22" s="8"/>
      <c r="B22" s="11">
        <v>4.2</v>
      </c>
      <c r="C22" s="12">
        <v>4.5999999999999996</v>
      </c>
    </row>
    <row r="23" spans="1:5" ht="15.75" thickBot="1" x14ac:dyDescent="0.3">
      <c r="A23" s="8"/>
      <c r="B23" s="11">
        <v>4.7</v>
      </c>
      <c r="C23" s="12">
        <v>5.2</v>
      </c>
    </row>
    <row r="24" spans="1:5" ht="15.75" thickBot="1" x14ac:dyDescent="0.3">
      <c r="A24" s="8"/>
      <c r="B24" s="11">
        <v>5.2</v>
      </c>
      <c r="C24" s="12">
        <v>5.5</v>
      </c>
    </row>
    <row r="25" spans="1:5" ht="15.75" thickBot="1" x14ac:dyDescent="0.3">
      <c r="A25" s="16"/>
      <c r="B25" s="13">
        <v>5.7</v>
      </c>
      <c r="C25" s="14">
        <v>6</v>
      </c>
    </row>
    <row r="26" spans="1:5" x14ac:dyDescent="0.25">
      <c r="B26" s="25">
        <f>AVERAGE(B15:B25)</f>
        <v>3.45</v>
      </c>
      <c r="C26">
        <f>AVERAGE(C15:C25)</f>
        <v>3.6</v>
      </c>
    </row>
    <row r="28" spans="1:5" x14ac:dyDescent="0.25">
      <c r="B28" t="s">
        <v>88</v>
      </c>
      <c r="C28" t="s">
        <v>89</v>
      </c>
      <c r="D28" t="s">
        <v>90</v>
      </c>
    </row>
    <row r="29" spans="1:5" x14ac:dyDescent="0.25">
      <c r="B29" s="26">
        <v>1</v>
      </c>
      <c r="C29" s="26"/>
      <c r="D29" s="26">
        <v>1</v>
      </c>
      <c r="E29" t="s">
        <v>91</v>
      </c>
    </row>
    <row r="30" spans="1:5" x14ac:dyDescent="0.25">
      <c r="B30" s="26">
        <v>1.5</v>
      </c>
      <c r="C30" s="26"/>
      <c r="D30" s="26">
        <v>5</v>
      </c>
      <c r="E30" t="s">
        <v>92</v>
      </c>
    </row>
    <row r="31" spans="1:5" x14ac:dyDescent="0.25">
      <c r="B31">
        <f>B30*B4</f>
        <v>1.7999999999999998</v>
      </c>
      <c r="D31" s="25">
        <f>$D$30*B4</f>
        <v>6</v>
      </c>
      <c r="E31" t="s">
        <v>127</v>
      </c>
    </row>
    <row r="32" spans="1:5" ht="30" x14ac:dyDescent="0.25">
      <c r="B32" s="3">
        <f>1.8*B30</f>
        <v>2.7</v>
      </c>
      <c r="C32" s="3"/>
      <c r="D32" s="27">
        <f>$D$30*B5</f>
        <v>9</v>
      </c>
      <c r="E32" s="28" t="s">
        <v>93</v>
      </c>
    </row>
  </sheetData>
  <mergeCells count="1">
    <mergeCell ref="P1:W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7773-5E2C-4BD3-91F1-A83E3A5F9DF9}">
  <dimension ref="A1:G24"/>
  <sheetViews>
    <sheetView zoomScale="118" zoomScaleNormal="118" workbookViewId="0">
      <selection activeCell="G23" sqref="G23"/>
    </sheetView>
  </sheetViews>
  <sheetFormatPr defaultRowHeight="15" x14ac:dyDescent="0.25"/>
  <cols>
    <col min="1" max="1" width="21" customWidth="1"/>
    <col min="2" max="2" width="20.7109375" customWidth="1"/>
  </cols>
  <sheetData>
    <row r="1" spans="1:2" ht="15.75" thickBot="1" x14ac:dyDescent="0.3">
      <c r="A1" s="17" t="s">
        <v>25</v>
      </c>
      <c r="B1" s="17" t="s">
        <v>26</v>
      </c>
    </row>
    <row r="2" spans="1:2" ht="15.75" thickBot="1" x14ac:dyDescent="0.3">
      <c r="A2" s="18">
        <v>1</v>
      </c>
      <c r="B2" s="17">
        <v>4</v>
      </c>
    </row>
    <row r="3" spans="1:2" ht="15.75" thickBot="1" x14ac:dyDescent="0.3">
      <c r="A3" s="18">
        <v>2</v>
      </c>
      <c r="B3" s="17">
        <v>7</v>
      </c>
    </row>
    <row r="4" spans="1:2" ht="15.75" thickBot="1" x14ac:dyDescent="0.3">
      <c r="A4" s="18">
        <v>3</v>
      </c>
      <c r="B4" s="17">
        <v>5</v>
      </c>
    </row>
    <row r="5" spans="1:2" ht="15.75" thickBot="1" x14ac:dyDescent="0.3">
      <c r="A5" s="18">
        <v>4</v>
      </c>
      <c r="B5" s="17">
        <v>9</v>
      </c>
    </row>
    <row r="6" spans="1:2" ht="15.75" thickBot="1" x14ac:dyDescent="0.3">
      <c r="A6" s="18">
        <v>5</v>
      </c>
      <c r="B6" s="17">
        <v>12</v>
      </c>
    </row>
    <row r="7" spans="1:2" ht="15.75" thickBot="1" x14ac:dyDescent="0.3">
      <c r="A7" s="18">
        <v>6</v>
      </c>
      <c r="B7" s="17">
        <v>13</v>
      </c>
    </row>
    <row r="8" spans="1:2" ht="15.75" thickBot="1" x14ac:dyDescent="0.3">
      <c r="A8" s="18">
        <v>7</v>
      </c>
      <c r="B8" s="17">
        <v>6</v>
      </c>
    </row>
    <row r="9" spans="1:2" ht="15.75" thickBot="1" x14ac:dyDescent="0.3">
      <c r="A9" s="18">
        <v>8</v>
      </c>
      <c r="B9" s="17">
        <v>3</v>
      </c>
    </row>
    <row r="10" spans="1:2" ht="15.75" thickBot="1" x14ac:dyDescent="0.3">
      <c r="A10" s="18">
        <v>9</v>
      </c>
      <c r="B10" s="17">
        <v>2</v>
      </c>
    </row>
    <row r="11" spans="1:2" ht="15.75" thickBot="1" x14ac:dyDescent="0.3">
      <c r="A11" s="18">
        <v>10</v>
      </c>
      <c r="B11" s="17">
        <v>5</v>
      </c>
    </row>
    <row r="12" spans="1:2" ht="15.75" thickBot="1" x14ac:dyDescent="0.3">
      <c r="A12" s="18">
        <v>11</v>
      </c>
      <c r="B12" s="17">
        <v>6</v>
      </c>
    </row>
    <row r="13" spans="1:2" ht="15.75" thickBot="1" x14ac:dyDescent="0.3">
      <c r="A13" s="18">
        <v>12</v>
      </c>
      <c r="B13" s="17">
        <v>8</v>
      </c>
    </row>
    <row r="14" spans="1:2" ht="15.75" thickBot="1" x14ac:dyDescent="0.3">
      <c r="A14" s="18">
        <v>13</v>
      </c>
      <c r="B14" s="17">
        <v>7</v>
      </c>
    </row>
    <row r="15" spans="1:2" ht="15.75" thickBot="1" x14ac:dyDescent="0.3">
      <c r="A15" s="18">
        <v>14</v>
      </c>
      <c r="B15" s="17">
        <v>5</v>
      </c>
    </row>
    <row r="16" spans="1:2" ht="15.75" thickBot="1" x14ac:dyDescent="0.3">
      <c r="A16" s="18">
        <v>15</v>
      </c>
      <c r="B16" s="17">
        <v>15</v>
      </c>
    </row>
    <row r="17" spans="1:7" ht="15.75" thickBot="1" x14ac:dyDescent="0.3">
      <c r="A17" s="18">
        <v>16</v>
      </c>
      <c r="B17" s="17">
        <v>12</v>
      </c>
    </row>
    <row r="18" spans="1:7" ht="15.75" thickBot="1" x14ac:dyDescent="0.3">
      <c r="A18" s="18">
        <v>17</v>
      </c>
      <c r="B18" s="17">
        <v>14</v>
      </c>
    </row>
    <row r="19" spans="1:7" ht="15.75" thickBot="1" x14ac:dyDescent="0.3">
      <c r="A19" s="18">
        <v>18</v>
      </c>
      <c r="B19" s="17">
        <v>8</v>
      </c>
    </row>
    <row r="20" spans="1:7" ht="15.75" thickBot="1" x14ac:dyDescent="0.3">
      <c r="A20" s="18">
        <v>19</v>
      </c>
      <c r="B20" s="17">
        <v>9</v>
      </c>
    </row>
    <row r="21" spans="1:7" ht="15.75" thickBot="1" x14ac:dyDescent="0.3">
      <c r="A21" s="18">
        <v>20</v>
      </c>
      <c r="B21" s="17">
        <v>10</v>
      </c>
      <c r="G21" t="s">
        <v>111</v>
      </c>
    </row>
    <row r="22" spans="1:7" ht="15.75" thickBot="1" x14ac:dyDescent="0.3">
      <c r="A22" s="7"/>
      <c r="B22" s="7"/>
      <c r="D22" t="s">
        <v>109</v>
      </c>
      <c r="E22">
        <v>14</v>
      </c>
      <c r="G22">
        <f>E22*100/E24</f>
        <v>70</v>
      </c>
    </row>
    <row r="23" spans="1:7" x14ac:dyDescent="0.25">
      <c r="D23" t="s">
        <v>110</v>
      </c>
      <c r="E23">
        <f>20-E22</f>
        <v>6</v>
      </c>
      <c r="G23">
        <f>E23*100/E24</f>
        <v>30</v>
      </c>
    </row>
    <row r="24" spans="1:7" x14ac:dyDescent="0.25">
      <c r="E24">
        <f>SUM(E22:E23)</f>
        <v>20</v>
      </c>
    </row>
  </sheetData>
  <conditionalFormatting sqref="B2:B21">
    <cfRule type="cellIs" dxfId="3" priority="1" operator="greaterThanOrEqual">
      <formula>6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5556-25A2-4E13-8ACD-AF2210B03B79}">
  <dimension ref="A1:B21"/>
  <sheetViews>
    <sheetView zoomScale="130" zoomScaleNormal="130" workbookViewId="0">
      <selection activeCell="B24" sqref="B24"/>
    </sheetView>
  </sheetViews>
  <sheetFormatPr defaultRowHeight="15" x14ac:dyDescent="0.25"/>
  <cols>
    <col min="1" max="1" width="26.85546875" customWidth="1"/>
    <col min="2" max="2" width="42.85546875" customWidth="1"/>
  </cols>
  <sheetData>
    <row r="1" spans="1:2" ht="15.75" thickBot="1" x14ac:dyDescent="0.3">
      <c r="A1" s="17" t="s">
        <v>25</v>
      </c>
      <c r="B1" s="17" t="s">
        <v>26</v>
      </c>
    </row>
    <row r="2" spans="1:2" ht="15.75" thickBot="1" x14ac:dyDescent="0.3">
      <c r="A2" s="18">
        <v>1</v>
      </c>
      <c r="B2" s="31">
        <v>1</v>
      </c>
    </row>
    <row r="3" spans="1:2" ht="15.75" thickBot="1" x14ac:dyDescent="0.3">
      <c r="A3" s="18">
        <v>2</v>
      </c>
      <c r="B3" s="31">
        <v>6</v>
      </c>
    </row>
    <row r="4" spans="1:2" ht="15.75" thickBot="1" x14ac:dyDescent="0.3">
      <c r="A4" s="18">
        <v>3</v>
      </c>
      <c r="B4" s="31">
        <v>2</v>
      </c>
    </row>
    <row r="5" spans="1:2" ht="15.75" thickBot="1" x14ac:dyDescent="0.3">
      <c r="A5" s="18">
        <v>4</v>
      </c>
      <c r="B5" s="31">
        <v>4</v>
      </c>
    </row>
    <row r="6" spans="1:2" ht="15.75" thickBot="1" x14ac:dyDescent="0.3">
      <c r="A6" s="18">
        <v>5</v>
      </c>
      <c r="B6" s="31">
        <v>2</v>
      </c>
    </row>
    <row r="7" spans="1:2" ht="15.75" thickBot="1" x14ac:dyDescent="0.3">
      <c r="A7" s="18">
        <v>6</v>
      </c>
      <c r="B7" s="31">
        <v>3</v>
      </c>
    </row>
    <row r="8" spans="1:2" ht="15.75" thickBot="1" x14ac:dyDescent="0.3">
      <c r="A8" s="18">
        <v>7</v>
      </c>
      <c r="B8" s="31">
        <v>1</v>
      </c>
    </row>
    <row r="9" spans="1:2" ht="15.75" thickBot="1" x14ac:dyDescent="0.3">
      <c r="A9" s="18">
        <v>8</v>
      </c>
      <c r="B9" s="31">
        <v>4</v>
      </c>
    </row>
    <row r="10" spans="1:2" ht="15.75" thickBot="1" x14ac:dyDescent="0.3">
      <c r="A10" s="18">
        <v>9</v>
      </c>
      <c r="B10" s="31">
        <v>5</v>
      </c>
    </row>
    <row r="11" spans="1:2" ht="15.75" thickBot="1" x14ac:dyDescent="0.3">
      <c r="A11" s="18">
        <v>10</v>
      </c>
      <c r="B11" s="31">
        <v>7</v>
      </c>
    </row>
    <row r="12" spans="1:2" ht="15.75" thickBot="1" x14ac:dyDescent="0.3">
      <c r="A12" s="18">
        <v>11</v>
      </c>
      <c r="B12" s="31">
        <v>3</v>
      </c>
    </row>
    <row r="13" spans="1:2" ht="15.75" thickBot="1" x14ac:dyDescent="0.3">
      <c r="A13" s="18">
        <v>12</v>
      </c>
      <c r="B13" s="31">
        <v>4</v>
      </c>
    </row>
    <row r="14" spans="1:2" ht="15.75" thickBot="1" x14ac:dyDescent="0.3">
      <c r="A14" s="18">
        <v>13</v>
      </c>
      <c r="B14" s="31">
        <v>2</v>
      </c>
    </row>
    <row r="15" spans="1:2" ht="15.75" thickBot="1" x14ac:dyDescent="0.3">
      <c r="A15" s="18">
        <v>14</v>
      </c>
      <c r="B15" s="31">
        <v>1</v>
      </c>
    </row>
    <row r="16" spans="1:2" ht="15.75" thickBot="1" x14ac:dyDescent="0.3">
      <c r="A16" s="18">
        <v>15</v>
      </c>
      <c r="B16" s="31">
        <v>5</v>
      </c>
    </row>
    <row r="17" spans="1:2" ht="15.75" thickBot="1" x14ac:dyDescent="0.3">
      <c r="A17" s="18">
        <v>16</v>
      </c>
      <c r="B17" s="31">
        <v>5</v>
      </c>
    </row>
    <row r="18" spans="1:2" ht="15.75" thickBot="1" x14ac:dyDescent="0.3">
      <c r="A18" s="18">
        <v>17</v>
      </c>
      <c r="B18" s="31">
        <v>2</v>
      </c>
    </row>
    <row r="19" spans="1:2" ht="15.75" thickBot="1" x14ac:dyDescent="0.3">
      <c r="A19" s="18">
        <v>18</v>
      </c>
      <c r="B19" s="31">
        <v>3</v>
      </c>
    </row>
    <row r="20" spans="1:2" ht="15.75" thickBot="1" x14ac:dyDescent="0.3">
      <c r="A20" s="18">
        <v>19</v>
      </c>
      <c r="B20" s="31">
        <v>1</v>
      </c>
    </row>
    <row r="21" spans="1:2" ht="15.75" thickBot="1" x14ac:dyDescent="0.3">
      <c r="A21" s="18">
        <v>20</v>
      </c>
      <c r="B21" s="31">
        <v>4</v>
      </c>
    </row>
  </sheetData>
  <conditionalFormatting sqref="B2:B21">
    <cfRule type="cellIs" dxfId="2" priority="1" operator="lessThanOrEqual">
      <formula>4</formula>
    </cfRule>
    <cfRule type="cellIs" dxfId="1" priority="2" operator="greaterThanOrEqual">
      <formula>6</formula>
    </cfRule>
    <cfRule type="cellIs" dxfId="0" priority="3" operator="equal">
      <formula>5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QUESTÕES</vt:lpstr>
      <vt:lpstr>Planilha2</vt:lpstr>
      <vt:lpstr>Fab de Sorvete - Vendas</vt:lpstr>
      <vt:lpstr>Fab de ... - Adoçante e Doçura</vt:lpstr>
      <vt:lpstr>Irmãos Tec. - Prazo e Entrega</vt:lpstr>
      <vt:lpstr>Irm. Tec. - NV Prazo de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Gabryel Souza</dc:creator>
  <cp:lastModifiedBy>Gabryel Souza</cp:lastModifiedBy>
  <dcterms:created xsi:type="dcterms:W3CDTF">2015-06-05T18:19:34Z</dcterms:created>
  <dcterms:modified xsi:type="dcterms:W3CDTF">2025-12-25T15:34:04Z</dcterms:modified>
</cp:coreProperties>
</file>